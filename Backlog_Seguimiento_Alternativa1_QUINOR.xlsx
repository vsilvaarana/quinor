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yenda" sheetId="1" state="visible" r:id="rId1"/>
    <sheet xmlns:r="http://schemas.openxmlformats.org/officeDocument/2006/relationships" name="Historias" sheetId="2" state="visible" r:id="rId2"/>
    <sheet xmlns:r="http://schemas.openxmlformats.org/officeDocument/2006/relationships" name="Backlog" sheetId="3" state="visible" r:id="rId3"/>
    <sheet xmlns:r="http://schemas.openxmlformats.org/officeDocument/2006/relationships" name="Resumen" sheetId="4" state="visible" r:id="rId4"/>
    <sheet xmlns:r="http://schemas.openxmlformats.org/officeDocument/2006/relationships" name="Tec_Sprint1" sheetId="5" state="visible" r:id="rId5"/>
    <sheet xmlns:r="http://schemas.openxmlformats.org/officeDocument/2006/relationships" name="Hallazgo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sz val="11"/>
    </font>
    <font>
      <name val="Arial"/>
      <charset val="1"/>
      <family val="0"/>
      <b val="1"/>
      <color rgb="FFFFFFFF"/>
      <sz val="10"/>
    </font>
    <font>
      <name val="Arial"/>
      <charset val="1"/>
      <family val="0"/>
      <sz val="10"/>
    </font>
    <font>
      <name val="Arial"/>
      <charset val="1"/>
      <family val="0"/>
      <b val="1"/>
      <sz val="10"/>
    </font>
    <font>
      <name val="Arial"/>
      <charset val="1"/>
      <family val="0"/>
      <b val="1"/>
      <color rgb="FF0000FF"/>
      <sz val="10"/>
    </font>
  </fonts>
  <fills count="8">
    <fill>
      <patternFill/>
    </fill>
    <fill>
      <patternFill patternType="gray125"/>
    </fill>
    <fill>
      <patternFill patternType="solid">
        <fgColor rgb="FF1F3864"/>
        <bgColor rgb="FF333399"/>
      </patternFill>
    </fill>
    <fill>
      <patternFill patternType="solid">
        <fgColor rgb="FFDDEBF7"/>
        <bgColor rgb="FFD9E2F3"/>
      </patternFill>
    </fill>
    <fill>
      <patternFill patternType="solid">
        <fgColor rgb="FFFFF2CC"/>
        <bgColor rgb="FFE2EFDA"/>
      </patternFill>
    </fill>
    <fill>
      <patternFill patternType="solid">
        <fgColor rgb="FFE2EFDA"/>
        <bgColor rgb="FFDDEBF7"/>
      </patternFill>
    </fill>
    <fill>
      <patternFill patternType="solid">
        <fgColor rgb="FFD9D9D9"/>
        <bgColor rgb="FFD9E2F3"/>
      </patternFill>
    </fill>
    <fill>
      <patternFill patternType="solid">
        <fgColor rgb="FFD9E2F3"/>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1" applyAlignment="1" pivotButton="0" quotePrefix="0" xfId="0">
      <alignment horizontal="general" vertical="top" wrapText="1"/>
    </xf>
    <xf numFmtId="0" fontId="8" fillId="6" borderId="1" applyAlignment="1" pivotButton="0" quotePrefix="0" xfId="0">
      <alignment horizontal="general" vertical="top" wrapText="1"/>
    </xf>
    <xf numFmtId="0" fontId="8" fillId="0" borderId="0" applyAlignment="1" pivotButton="0" quotePrefix="0" xfId="0">
      <alignment horizontal="general" vertical="top"/>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8" fillId="0" borderId="1" applyAlignment="1" pivotButton="0" quotePrefix="0" xfId="0">
      <alignment horizontal="center" vertical="center" wrapText="1"/>
    </xf>
    <xf numFmtId="0" fontId="8" fillId="0" borderId="1" applyAlignment="1" pivotButton="0" quotePrefix="0" xfId="0">
      <alignment horizontal="general" vertical="top" wrapText="1"/>
    </xf>
    <xf numFmtId="9" fontId="8" fillId="0" borderId="1" applyAlignment="1" pivotButton="0" quotePrefix="0" xfId="0">
      <alignment horizontal="center" vertical="center" wrapText="1"/>
    </xf>
    <xf numFmtId="0" fontId="9" fillId="7" borderId="1" applyAlignment="1" pivotButton="0" quotePrefix="0" xfId="0">
      <alignment horizontal="general" vertical="bottom"/>
    </xf>
    <xf numFmtId="0" fontId="0" fillId="7" borderId="1" applyAlignment="1" pivotButton="0" quotePrefix="0" xfId="0">
      <alignment horizontal="general" vertical="bottom"/>
    </xf>
    <xf numFmtId="0" fontId="9" fillId="7" borderId="1" applyAlignment="1" pivotButton="0" quotePrefix="0" xfId="0">
      <alignment horizontal="center" vertical="center" wrapText="1"/>
    </xf>
    <xf numFmtId="0" fontId="9" fillId="0" borderId="1" applyAlignment="1" pivotButton="0" quotePrefix="0" xfId="0">
      <alignment horizontal="general" vertical="bottom"/>
    </xf>
    <xf numFmtId="0" fontId="9" fillId="3" borderId="1" applyAlignment="1" pivotButton="0" quotePrefix="0" xfId="0">
      <alignment horizontal="general" vertical="bottom"/>
    </xf>
    <xf numFmtId="164" fontId="8" fillId="0" borderId="1" applyAlignment="1" pivotButton="0" quotePrefix="0" xfId="0">
      <alignment horizontal="center" vertical="center" wrapText="1"/>
    </xf>
    <xf numFmtId="0" fontId="9" fillId="4" borderId="1" applyAlignment="1" pivotButton="0" quotePrefix="0" xfId="0">
      <alignment horizontal="general" vertical="bottom"/>
    </xf>
    <xf numFmtId="0" fontId="9" fillId="5" borderId="1" applyAlignment="1" pivotButton="0" quotePrefix="0" xfId="0">
      <alignment horizontal="general" vertical="bottom"/>
    </xf>
    <xf numFmtId="0" fontId="9" fillId="6" borderId="1" applyAlignment="1" pivotButton="0" quotePrefix="0" xfId="0">
      <alignment horizontal="general" vertical="bottom"/>
    </xf>
    <xf numFmtId="164" fontId="9" fillId="7" borderId="1" applyAlignment="1" pivotButton="0" quotePrefix="0" xfId="0">
      <alignment horizontal="center" vertical="center" wrapText="1"/>
    </xf>
    <xf numFmtId="0" fontId="8" fillId="0" borderId="1" applyAlignment="1" pivotButton="0" quotePrefix="0" xfId="0">
      <alignment horizontal="general" vertical="bottom"/>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5" borderId="1" applyAlignment="1" pivotButton="0" quotePrefix="0" xfId="0">
      <alignment horizontal="general" vertical="top" wrapText="1"/>
    </xf>
    <xf numFmtId="0" fontId="8" fillId="6" borderId="1" applyAlignment="1" pivotButton="0" quotePrefix="0" xfId="0">
      <alignment horizontal="general" vertical="top" wrapText="1"/>
    </xf>
    <xf numFmtId="0" fontId="8" fillId="0" borderId="0" applyAlignment="1" pivotButton="0" quotePrefix="0" xfId="0">
      <alignment horizontal="general" vertical="top"/>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7" fillId="2" borderId="1" applyAlignment="1" pivotButton="0" quotePrefix="0" xfId="0">
      <alignment horizontal="center" vertical="center" wrapText="1"/>
    </xf>
    <xf numFmtId="0" fontId="9" fillId="0" borderId="1" applyAlignment="1" pivotButton="0" quotePrefix="0" xfId="0">
      <alignment horizontal="general" vertical="top" wrapText="1"/>
    </xf>
    <xf numFmtId="0" fontId="8" fillId="0" borderId="1" applyAlignment="1" pivotButton="0" quotePrefix="0" xfId="0">
      <alignment horizontal="center" vertical="center" wrapText="1"/>
    </xf>
    <xf numFmtId="0" fontId="8" fillId="0" borderId="1" applyAlignment="1" pivotButton="0" quotePrefix="0" xfId="0">
      <alignment horizontal="general" vertical="top" wrapText="1"/>
    </xf>
    <xf numFmtId="9" fontId="8" fillId="0" borderId="1" applyAlignment="1" pivotButton="0" quotePrefix="0" xfId="0">
      <alignment horizontal="center" vertical="center" wrapText="1"/>
    </xf>
    <xf numFmtId="0" fontId="9" fillId="7" borderId="1" applyAlignment="1" pivotButton="0" quotePrefix="0" xfId="0">
      <alignment horizontal="general" vertical="bottom"/>
    </xf>
    <xf numFmtId="0" fontId="0" fillId="7" borderId="1" applyAlignment="1" pivotButton="0" quotePrefix="0" xfId="0">
      <alignment horizontal="general" vertical="bottom"/>
    </xf>
    <xf numFmtId="0" fontId="9" fillId="7" borderId="1" applyAlignment="1" pivotButton="0" quotePrefix="0" xfId="0">
      <alignment horizontal="center" vertical="center" wrapText="1"/>
    </xf>
    <xf numFmtId="0" fontId="9" fillId="0" borderId="1" applyAlignment="1" pivotButton="0" quotePrefix="0" xfId="0">
      <alignment horizontal="general" vertical="bottom"/>
    </xf>
    <xf numFmtId="0" fontId="9" fillId="3" borderId="1" applyAlignment="1" pivotButton="0" quotePrefix="0" xfId="0">
      <alignment horizontal="general" vertical="bottom"/>
    </xf>
    <xf numFmtId="164" fontId="8" fillId="0" borderId="1" applyAlignment="1" pivotButton="0" quotePrefix="0" xfId="0">
      <alignment horizontal="center" vertical="center" wrapText="1"/>
    </xf>
    <xf numFmtId="0" fontId="9" fillId="4" borderId="1" applyAlignment="1" pivotButton="0" quotePrefix="0" xfId="0">
      <alignment horizontal="general" vertical="bottom"/>
    </xf>
    <xf numFmtId="0" fontId="9" fillId="5" borderId="1" applyAlignment="1" pivotButton="0" quotePrefix="0" xfId="0">
      <alignment horizontal="general" vertical="bottom"/>
    </xf>
    <xf numFmtId="0" fontId="9" fillId="6" borderId="1" applyAlignment="1" pivotButton="0" quotePrefix="0" xfId="0">
      <alignment horizontal="general" vertical="bottom"/>
    </xf>
    <xf numFmtId="164" fontId="9" fillId="7" borderId="1" applyAlignment="1" pivotButton="0" quotePrefix="0" xfId="0">
      <alignment horizontal="center" vertical="center" wrapText="1"/>
    </xf>
    <xf numFmtId="0" fontId="8" fillId="0" borderId="1" applyAlignment="1" pivotButton="0" quotePrefix="0" xfId="0">
      <alignment horizontal="general" vertical="bottom"/>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ont>
        <name val="Arial"/>
        <charset val="1"/>
        <family val="0"/>
        <b val="1"/>
        <sz val="10"/>
      </font>
      <fill>
        <patternFill>
          <bgColor rgb="FFDDEBF7"/>
        </patternFill>
      </fill>
    </dxf>
    <dxf>
      <font>
        <name val="Arial"/>
        <charset val="1"/>
        <family val="0"/>
        <b val="1"/>
        <sz val="10"/>
      </font>
      <fill>
        <patternFill>
          <bgColor rgb="FFFFF2CC"/>
        </patternFill>
      </fill>
    </dxf>
    <dxf>
      <font>
        <name val="Arial"/>
        <charset val="1"/>
        <family val="0"/>
        <b val="1"/>
        <sz val="10"/>
      </font>
      <fill>
        <patternFill>
          <bgColor rgb="FFE2EFDA"/>
        </patternFill>
      </fill>
    </dxf>
    <dxf>
      <font>
        <name val="Arial"/>
        <charset val="1"/>
        <family val="0"/>
        <b val="1"/>
        <sz val="10"/>
      </font>
      <fill>
        <patternFill>
          <bgColor rgb="FFD9D9D9"/>
        </patternFill>
      </fill>
    </dxf>
    <dxf>
      <font>
        <name val="Arial"/>
        <charset val="1"/>
        <family val="0"/>
        <b val="1"/>
        <color rgb="FF9C0006"/>
        <sz val="10"/>
      </font>
      <fill>
        <patternFill>
          <bgColor rgb="FFFFC7CE"/>
        </patternFill>
      </fill>
    </dxf>
    <dxf>
      <fill>
        <patternFill>
          <bgColor rgb="FFFFF2CC"/>
        </patternFill>
      </fill>
    </dxf>
    <dxf>
      <fill>
        <patternFill>
          <bgColor rgb="FFFFC7CE"/>
        </patternFill>
      </fill>
    </dxf>
    <dxf>
      <font>
        <name val="Arial"/>
        <charset val="1"/>
        <family val="0"/>
        <b val="1"/>
        <color rgb="FF375623"/>
        <sz val="10"/>
      </font>
      <fill>
        <patternFill>
          <bgColor rgb="FFE2EF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E2EFDA"/>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31" min="1" max="1"/>
    <col width="62" customWidth="1" style="31" min="2" max="2"/>
    <col width="68" customWidth="1" style="31" min="3" max="3"/>
  </cols>
  <sheetData>
    <row r="1" ht="17.25" customHeight="1" s="32">
      <c r="A1" s="33" t="inlineStr">
        <is>
          <t>QUINOR S.A.C. - Backlog Alternativa 1 - Seguimiento de avance</t>
        </is>
      </c>
    </row>
    <row r="2" ht="15" customHeight="1" s="32">
      <c r="A2" s="34" t="inlineStr">
        <is>
          <t>Sistema de deteccion de sustraccion de quinua en despacho. Documento Funcional y Tecnico v1.2.</t>
        </is>
      </c>
    </row>
    <row r="4" ht="15" customHeight="1" s="32">
      <c r="A4" s="35" t="inlineStr">
        <is>
          <t>Estados de avance</t>
        </is>
      </c>
    </row>
    <row r="5" ht="30" customHeight="1" s="32">
      <c r="A5" s="36" t="inlineStr">
        <is>
          <t>Estado</t>
        </is>
      </c>
      <c r="B5" s="36" t="inlineStr">
        <is>
          <t>Significado</t>
        </is>
      </c>
      <c r="C5" s="36" t="inlineStr">
        <is>
          <t>Cuando se usa</t>
        </is>
      </c>
    </row>
    <row r="6" ht="30" customHeight="1" s="32">
      <c r="A6" s="37" t="inlineStr">
        <is>
          <t>NEW</t>
        </is>
      </c>
      <c r="B6" s="37" t="inlineStr">
        <is>
          <t>Planificada, sin bloqueo, aun no iniciada.</t>
        </is>
      </c>
      <c r="C6" s="37" t="inlineStr">
        <is>
          <t>Historia de un sprint futuro cuyas dependencias estan todas dentro de su propio sprint.</t>
        </is>
      </c>
    </row>
    <row r="7" ht="30" customHeight="1" s="32">
      <c r="A7" s="38" t="inlineStr">
        <is>
          <t>PENDING</t>
        </is>
      </c>
      <c r="B7" s="38" t="inlineStr">
        <is>
          <t>Bloqueada: depende de historias de otro sprint.</t>
        </is>
      </c>
      <c r="C7" s="38" t="inlineStr">
        <is>
          <t>Regla del proyecto: no se cuenta en el sprint hasta que el sprint del que depende este DONE.</t>
        </is>
      </c>
    </row>
    <row r="8" ht="30" customHeight="1" s="32">
      <c r="A8" s="39" t="inlineStr">
        <is>
          <t>ACTIVE</t>
        </is>
      </c>
      <c r="B8" s="39" t="inlineStr">
        <is>
          <t>En desarrollo en el sprint en curso.</t>
        </is>
      </c>
      <c r="C8" s="39" t="inlineStr">
        <is>
          <t>Historia del sprint actual sin dependencias cruzadas.</t>
        </is>
      </c>
    </row>
    <row r="9" ht="30" customHeight="1" s="32">
      <c r="A9" s="40" t="inlineStr">
        <is>
          <t>DONE</t>
        </is>
      </c>
      <c r="B9" s="40" t="inlineStr">
        <is>
          <t>Terminada y con los tres criterios de aceptacion verificados.</t>
        </is>
      </c>
      <c r="C9" s="40" t="inlineStr">
        <is>
          <t>Se marca manualmente al cerrar la historia.</t>
        </is>
      </c>
    </row>
    <row r="11" ht="15" customHeight="1" s="32">
      <c r="A11" s="35" t="inlineStr">
        <is>
          <t>Regla de dependencias aplicada</t>
        </is>
      </c>
    </row>
    <row r="12" ht="15" customHeight="1" s="32">
      <c r="A12" s="41" t="inlineStr">
        <is>
          <t>- Una historia cuya dependencia vive en un sprint distinto al suyo se marca PENDING y no suma puntos al sprint.</t>
        </is>
      </c>
    </row>
    <row r="13" ht="15" customHeight="1" s="32">
      <c r="A13" s="41" t="inlineStr">
        <is>
          <t>- Sprint en curso: 1. Las historias del Sprint 1 sin dependencia cruzada quedan ACTIVE.</t>
        </is>
      </c>
    </row>
    <row r="14" ht="15" customHeight="1" s="32">
      <c r="A14" s="41" t="inlineStr">
        <is>
          <t>- HU-17 depende de HU-03 (Sprint 2), por eso queda PENDING pese a estar planificada en el Sprint 1.</t>
        </is>
      </c>
    </row>
    <row r="15" ht="15" customHeight="1" s="32">
      <c r="A15" s="41" t="inlineStr">
        <is>
          <t>- La columna Estado es editable con lista desplegable. Actualizala conforme avance el desarrollo.</t>
        </is>
      </c>
    </row>
    <row r="16" ht="15" customHeight="1" s="32">
      <c r="A16" s="41" t="inlineStr">
        <is>
          <t>- La hoja Resumen se recalcula sola a partir de la columna Estado.</t>
        </is>
      </c>
    </row>
    <row r="19" ht="15" customHeight="1" s="32">
      <c r="A19" s="35" t="inlineStr">
        <is>
          <t>Hojas del libro</t>
        </is>
      </c>
    </row>
    <row r="20" ht="15" customHeight="1" s="32">
      <c r="A20" s="42" t="inlineStr">
        <is>
          <t>Historias</t>
        </is>
      </c>
      <c r="B20" s="43" t="inlineStr">
        <is>
          <t>Las 14 historias del MVP con dependencias, estado y bloqueos.</t>
        </is>
      </c>
    </row>
    <row r="21" ht="15" customHeight="1" s="32">
      <c r="A21" s="42" t="inlineStr">
        <is>
          <t>Backlog</t>
        </is>
      </c>
      <c r="B21" s="43" t="inlineStr">
        <is>
          <t>Las 6 historias postergadas fuera del MVP, con el motivo de cada una.</t>
        </is>
      </c>
    </row>
    <row r="22" ht="15" customHeight="1" s="32">
      <c r="A22" s="42" t="inlineStr">
        <is>
          <t>Resumen</t>
        </is>
      </c>
      <c r="B22" s="43" t="inlineStr">
        <is>
          <t>Puntos e historias por sprint y por estado. Todo calculado con formulas.</t>
        </is>
      </c>
    </row>
    <row r="23" ht="15" customHeight="1" s="32">
      <c r="A23" s="42" t="inlineStr">
        <is>
          <t>Tec_Sprint1</t>
        </is>
      </c>
      <c r="B23" s="43" t="inlineStr">
        <is>
          <t>Verificacion de tecnologias necesarias para iniciar el Sprint 1.</t>
        </is>
      </c>
    </row>
    <row r="24">
      <c r="A24" s="42" t="inlineStr">
        <is>
          <t>Hallazgos</t>
        </is>
      </c>
      <c r="B24" s="43" t="inlineStr">
        <is>
          <t>Inconsistencias detectadas en el documento funcional y su resolucion.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19"/>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9" customWidth="1" style="31" min="1" max="1"/>
    <col width="7" customWidth="1" style="31" min="2" max="2"/>
    <col width="17" customWidth="1" style="31" min="3" max="3"/>
    <col width="64" customWidth="1" style="31" min="4" max="4"/>
    <col width="62" customWidth="1" style="31" min="5" max="5"/>
    <col width="7" customWidth="1" style="31" min="6" max="6"/>
    <col width="6" customWidth="1" style="31" min="7" max="7"/>
    <col width="16" customWidth="1" style="31" min="8" max="8"/>
    <col width="24" customWidth="1" style="31" min="9" max="9"/>
    <col width="22" customWidth="1" style="31" min="10" max="10"/>
    <col width="11" customWidth="1" style="31" min="11" max="11"/>
    <col width="10" customWidth="1" style="31" min="12" max="12"/>
    <col width="16" customWidth="1" style="31" min="13" max="13"/>
    <col width="40" customWidth="1" style="31" min="14" max="14"/>
  </cols>
  <sheetData>
    <row r="1" ht="17.25" customHeight="1" s="32">
      <c r="A1" s="33" t="inlineStr">
        <is>
          <t>Historias del MVP - Alternativa 1</t>
        </is>
      </c>
    </row>
    <row r="2" ht="15" customHeight="1" s="32">
      <c r="A2" s="34" t="inlineStr">
        <is>
          <t>MVP de 14 historias (51 pts). Las 6 postergadas estan en la hoja Backlog. Columna Estado editable (NEW / PENDING / ACTIVE / DONE).</t>
        </is>
      </c>
    </row>
    <row r="4" ht="23.25" customHeight="1" s="32">
      <c r="A4" s="44" t="inlineStr">
        <is>
          <t>ID</t>
        </is>
      </c>
      <c r="B4" s="44" t="inlineStr">
        <is>
          <t>Sprint</t>
        </is>
      </c>
      <c r="C4" s="44" t="inlineStr">
        <is>
          <t>Categoria</t>
        </is>
      </c>
      <c r="D4" s="44" t="inlineStr">
        <is>
          <t>Historia de usuario</t>
        </is>
      </c>
      <c r="E4" s="44" t="inlineStr">
        <is>
          <t>Criterios de aceptacion</t>
        </is>
      </c>
      <c r="F4" s="44" t="inlineStr">
        <is>
          <t>Prio.</t>
        </is>
      </c>
      <c r="G4" s="44" t="inlineStr">
        <is>
          <t>Pts.</t>
        </is>
      </c>
      <c r="H4" s="44" t="inlineStr">
        <is>
          <t>Depende de</t>
        </is>
      </c>
      <c r="I4" s="44" t="inlineStr">
        <is>
          <t>Sprint de cada dependencia</t>
        </is>
      </c>
      <c r="J4" s="44" t="inlineStr">
        <is>
          <t>Dependencia cruzada</t>
        </is>
      </c>
      <c r="K4" s="44" t="inlineStr">
        <is>
          <t>Estado</t>
        </is>
      </c>
      <c r="L4" s="44" t="inlineStr">
        <is>
          <t>Avance %</t>
        </is>
      </c>
      <c r="M4" s="44" t="inlineStr">
        <is>
          <t>Responsable</t>
        </is>
      </c>
      <c r="N4" s="44" t="inlineStr">
        <is>
          <t>Observaciones</t>
        </is>
      </c>
    </row>
    <row r="5" ht="73.5" customHeight="1" s="32">
      <c r="A5" s="45" t="inlineStr">
        <is>
          <t>HU-01</t>
        </is>
      </c>
      <c r="B5" s="46" t="n">
        <v>1</v>
      </c>
      <c r="C5" s="47" t="inlineStr">
        <is>
          <t>Captura de datos</t>
        </is>
      </c>
      <c r="D5" s="47" t="inlineStr">
        <is>
          <t>Como operador de despacho, quiero que el sistema registre automaticamente el peso de la bascula al cerrar cada carga, para no depender de anotaciones manuales que pueden alterarse.</t>
        </is>
      </c>
      <c r="E5" s="47" t="inlineStr">
        <is>
          <t>1. Al finalizar la pesada, el sistema lee el peso via Modbus o serial y lo guarda con fecha, hora, ID de carga y ID de bascula.
2. Si la bascula no responde en 5 s se registra un error en la tabla salud_componente, expuesto por GET /salud.
3. El peso se almacena con dos decimales en kg.</t>
        </is>
      </c>
      <c r="F5" s="46" t="inlineStr">
        <is>
          <t>Must</t>
        </is>
      </c>
      <c r="G5" s="46" t="n">
        <v>3</v>
      </c>
      <c r="H5" s="47" t="inlineStr">
        <is>
          <t>Ninguna</t>
        </is>
      </c>
      <c r="I5" s="47" t="inlineStr">
        <is>
          <t>-</t>
        </is>
      </c>
      <c r="J5" s="47" t="inlineStr">
        <is>
          <t>No</t>
        </is>
      </c>
      <c r="K5" s="46" t="inlineStr">
        <is>
          <t>DONE</t>
        </is>
      </c>
      <c r="L5" s="48" t="n">
        <v>1</v>
      </c>
      <c r="M5" s="47" t="n"/>
      <c r="N5" s="47" t="inlineStr">
        <is>
          <t>Entregada el 14/09/2026. Los tres criterios verificados con 29 pruebas automatizadas y 95% de cobertura. Ver README, apartado HU-01.</t>
        </is>
      </c>
    </row>
    <row r="6" ht="73.5" customHeight="1" s="32">
      <c r="A6" s="45" t="inlineStr">
        <is>
          <t>HU-02</t>
        </is>
      </c>
      <c r="B6" s="46" t="n">
        <v>1</v>
      </c>
      <c r="C6" s="47" t="inlineStr">
        <is>
          <t>Captura de datos</t>
        </is>
      </c>
      <c r="D6" s="47" t="inlineStr">
        <is>
          <t>Como operador de despacho, quiero que el sistema obtenga del ERP/WMS el peso y cantidad de sacos esperados de la orden de despacho, para comparar lo cargado contra lo planificado.</t>
        </is>
      </c>
      <c r="E6" s="47" t="inlineStr">
        <is>
          <t>1. Dado un numero de orden, el sistema consulta el ERP por API REST y obtiene peso esperado y numero de sacos.
2. Si la orden no existe se muestra un mensaje y no se crea evento.
3. La respuesta se guarda junto a la pesada.</t>
        </is>
      </c>
      <c r="F6" s="46" t="inlineStr">
        <is>
          <t>Must</t>
        </is>
      </c>
      <c r="G6" s="46" t="n">
        <v>3</v>
      </c>
      <c r="H6" s="47" t="inlineStr">
        <is>
          <t>HU-01</t>
        </is>
      </c>
      <c r="I6" s="47" t="inlineStr">
        <is>
          <t>HU-01 (S1)</t>
        </is>
      </c>
      <c r="J6" s="47" t="inlineStr">
        <is>
          <t>No</t>
        </is>
      </c>
      <c r="K6" s="46" t="inlineStr">
        <is>
          <t>DONE</t>
        </is>
      </c>
      <c r="L6" s="48" t="n">
        <v>1</v>
      </c>
      <c r="M6" s="47" t="n"/>
      <c r="N6" s="47" t="inlineStr">
        <is>
          <t>Entregada el 14/09/2026. Los tres criterios verificados con 114 pruebas automatizadas y 100% de cobertura. Incluye la incidencia de integracion de la RN-02. Ver README, apartado HU-02.</t>
        </is>
      </c>
    </row>
    <row r="7" ht="73.5" customHeight="1" s="32">
      <c r="A7" s="45" t="inlineStr">
        <is>
          <t>HU-03</t>
        </is>
      </c>
      <c r="B7" s="46" t="n">
        <v>2</v>
      </c>
      <c r="C7" s="47" t="inlineStr">
        <is>
          <t>Deteccion</t>
        </is>
      </c>
      <c r="D7" s="47" t="inlineStr">
        <is>
          <t>Como supervisor de despacho, quiero que el sistema genere un evento de discrepancia cuando el peso real difiera del esperado mas alla de la tolerancia, para enterarme en el momento y no cuando reclama el cliente.</t>
        </is>
      </c>
      <c r="E7" s="47" t="inlineStr">
        <is>
          <t>1. Si |peso real - peso esperado| &gt; tolerancia configurada, se crea un evento con estado Pendiente.
2. El evento incluye orden, pesos, diferencia en kg y porcentaje.
3. La creacion del evento ocurre en menos de 10 s desde la pesada.</t>
        </is>
      </c>
      <c r="F7" s="46" t="inlineStr">
        <is>
          <t>Must</t>
        </is>
      </c>
      <c r="G7" s="46" t="n">
        <v>3</v>
      </c>
      <c r="H7" s="47" t="inlineStr">
        <is>
          <t>HU-01, HU-02, HU-04</t>
        </is>
      </c>
      <c r="I7" s="47" t="inlineStr">
        <is>
          <t>HU-01 (S1), HU-02 (S1), HU-04 (S1)</t>
        </is>
      </c>
      <c r="J7" s="47" t="inlineStr">
        <is>
          <t>HU-01 (S1), HU-02 (S1), HU-04 (S1)</t>
        </is>
      </c>
      <c r="K7" s="46" t="inlineStr">
        <is>
          <t>DONE</t>
        </is>
      </c>
      <c r="L7" s="48" t="n">
        <v>1</v>
      </c>
      <c r="M7" s="47" t="n"/>
      <c r="N7" s="47" t="inlineStr">
        <is>
          <t>Entregada el 14/09/2026, adelantada del Sprint 2. Sus tres dependencias (HU-01, HU-02 y HU-04) quedaron DONE al cerrar el Sprint 1, asi que dejo de estar bloqueada. Los tres criterios verificados con 337 pruebas automatizadas y 100% de cobertura. Evaluacion sincrona tras la pesada (milisegundos frente a los 10 s del criterio 3), un evento por pesada garantizado por clave unica, y las cargas sin tolerancia configurada se marcan como no evaluadas en lugar de pasar por limpias. Ver README, apartado HU-03.</t>
        </is>
      </c>
    </row>
    <row r="8" ht="73.5" customHeight="1" s="32">
      <c r="A8" s="45" t="inlineStr">
        <is>
          <t>HU-04</t>
        </is>
      </c>
      <c r="B8" s="46" t="n">
        <v>1</v>
      </c>
      <c r="C8" s="47" t="inlineStr">
        <is>
          <t>Configuracion</t>
        </is>
      </c>
      <c r="D8" s="47" t="inlineStr">
        <is>
          <t>Como administrador del sistema, quiero configurar la tolerancia de peso permitida (kg y porcentaje) por tipo de producto, para ajustar la sensibilidad sin cambiar el codigo.</t>
        </is>
      </c>
      <c r="E8" s="47" t="inlineStr">
        <is>
          <t>1. Existe una pantalla de configuracion con campos de tolerancia en kg y %.
2. Solo el rol Administrador puede editarla.
3. Cada cambio queda registrado con usuario y fecha.</t>
        </is>
      </c>
      <c r="F8" s="46" t="inlineStr">
        <is>
          <t>Must</t>
        </is>
      </c>
      <c r="G8" s="46" t="n">
        <v>2</v>
      </c>
      <c r="H8" s="47" t="inlineStr">
        <is>
          <t>HU-14</t>
        </is>
      </c>
      <c r="I8" s="47" t="inlineStr">
        <is>
          <t>HU-14 (S1)</t>
        </is>
      </c>
      <c r="J8" s="47" t="inlineStr">
        <is>
          <t>No</t>
        </is>
      </c>
      <c r="K8" s="46" t="inlineStr">
        <is>
          <t>DONE</t>
        </is>
      </c>
      <c r="L8" s="48" t="n">
        <v>1</v>
      </c>
      <c r="M8" s="47" t="n"/>
      <c r="N8" s="47" t="inlineStr">
        <is>
          <t>Entregada el 14/09/2026. Los tres criterios verificados con 282 pruebas automatizadas y 100% de cobertura. Pantalla de tolerancias en el dashboard, edicion restringida a Administrador y cada cambio en auditoria con valores de antes y despues. Incluye la RN-01 (la mas restrictiva entre kg y %). Ver README, apartado HU-04.</t>
        </is>
      </c>
    </row>
    <row r="9" ht="73.5" customHeight="1" s="32">
      <c r="A9" s="45" t="inlineStr">
        <is>
          <t>HU-05</t>
        </is>
      </c>
      <c r="B9" s="46" t="n">
        <v>2</v>
      </c>
      <c r="C9" s="47" t="inlineStr">
        <is>
          <t>Captura de video</t>
        </is>
      </c>
      <c r="D9" s="47" t="inlineStr">
        <is>
          <t>Como supervisor de despacho, quiero que las camaras de la rampa graben de forma continua en un buffer circular, para contar con el video de cualquier carga reciente.</t>
        </is>
      </c>
      <c r="E9" s="47" t="inlineStr">
        <is>
          <t>1. Cada camara RTSP se graba en segmentos de 1 min con el muxer segment de ffmpeg.
2. Se conservan al menos 72 h de video en disco local.
3. Si una camara se desconecta se registra en salud_componente, expuesto por GET /salud.</t>
        </is>
      </c>
      <c r="F9" s="46" t="inlineStr">
        <is>
          <t>Must</t>
        </is>
      </c>
      <c r="G9" s="46" t="n">
        <v>5</v>
      </c>
      <c r="H9" s="47" t="inlineStr">
        <is>
          <t>Ninguna</t>
        </is>
      </c>
      <c r="I9" s="47" t="inlineStr">
        <is>
          <t>-</t>
        </is>
      </c>
      <c r="J9" s="47" t="inlineStr">
        <is>
          <t>No</t>
        </is>
      </c>
      <c r="K9" s="46" t="inlineStr">
        <is>
          <t>DONE</t>
        </is>
      </c>
      <c r="L9" s="48" t="n">
        <v>1</v>
      </c>
      <c r="M9" s="47" t="n"/>
      <c r="N9" s="47" t="inlineStr">
        <is>
          <t>Entregada el 14/09/2026, adelantada del Sprint 2. No tenia dependencias. Los tres criterios verificados con 89 pruebas automatizadas y 100% de cobertura, cuatro de ellas grabando video real por RTSP. Servicio propio en quinor/despacho/grabador: un ffmpeg por camara con el muxer segment, buffer circular de 72 h que libera espacio antes que dejar de grabar, y desconexion de camara visible en GET /salud. Incluye simulador de camaras RTSP. Ver README del grabador.</t>
        </is>
      </c>
    </row>
    <row r="10" ht="73.5" customHeight="1" s="32">
      <c r="A10" s="45" t="inlineStr">
        <is>
          <t>HU-06</t>
        </is>
      </c>
      <c r="B10" s="46" t="n">
        <v>2</v>
      </c>
      <c r="C10" s="47" t="inlineStr">
        <is>
          <t>Captura de video</t>
        </is>
      </c>
      <c r="D10" s="47" t="inlineStr">
        <is>
          <t>Como supervisor de despacho, quiero que el sistema recorte automaticamente el clip correspondiente a la ventana de tiempo de una carga con discrepancia, para revisar solo el tramo relevante y no horas de video.</t>
        </is>
      </c>
      <c r="E10" s="47" t="inlineStr">
        <is>
          <t>1. Al crearse un evento se genera un clip desde 5 min antes del inicio de carga hasta 2 min despues del cierre.
2. El clip se guarda en MinIO y se vincula al evento.
3. Si falta video de ese rango, el evento se marca como Sin clip.</t>
        </is>
      </c>
      <c r="F10" s="46" t="inlineStr">
        <is>
          <t>Must</t>
        </is>
      </c>
      <c r="G10" s="46" t="n">
        <v>3</v>
      </c>
      <c r="H10" s="47" t="inlineStr">
        <is>
          <t>HU-03, HU-05</t>
        </is>
      </c>
      <c r="I10" s="47" t="inlineStr">
        <is>
          <t>HU-03 (S2), HU-05 (S2)</t>
        </is>
      </c>
      <c r="J10" s="47" t="inlineStr">
        <is>
          <t>No</t>
        </is>
      </c>
      <c r="K10" s="46" t="inlineStr">
        <is>
          <t>DONE</t>
        </is>
      </c>
      <c r="L10" s="48" t="n">
        <v>1</v>
      </c>
      <c r="M10" s="47" t="n"/>
      <c r="N10" s="47" t="inlineStr">
        <is>
          <t>Entregada el 14/09/2026. Sus dependencias HU-03 y HU-05 ya estaban DONE. Los tres criterios verificados con 514 pruebas automatizadas entre los dos servicios y 100% de cobertura, recortando video real y subiendolo a un S3 real. Repartida a proposito: la marca de inicio de carga vive en la API (nueva tabla carga y endpoint POST /cargas/{orden}/inicio) y el recorte en el grabador, que tiene el buffer y ffmpeg. El recorte espera a que se grabe el margen posterior al cierre. Ver README del grabador, apartado HU-06.</t>
        </is>
      </c>
    </row>
    <row r="11" ht="73.5" customHeight="1" s="32">
      <c r="A11" s="45" t="inlineStr">
        <is>
          <t>HU-07</t>
        </is>
      </c>
      <c r="B11" s="46" t="n">
        <v>3</v>
      </c>
      <c r="C11" s="47" t="inlineStr">
        <is>
          <t>Analisis IA</t>
        </is>
      </c>
      <c r="D11" s="47" t="inlineStr">
        <is>
          <t>Como supervisor de despacho, quiero que el sistema cuente los sacos cargados al camion a partir del video, para contrastar el conteo visual con el peso y la orden.</t>
        </is>
      </c>
      <c r="E11" s="47" t="inlineStr">
        <is>
          <t>1. El servicio YOLO procesa el clip y devuelve el numero de sacos que cruzan la linea de carga.
2. La precision del conteo en el set de validacion es igual o mayor a 95%.
3. El conteo y la diferencia con la orden se guardan en el evento.</t>
        </is>
      </c>
      <c r="F11" s="46" t="inlineStr">
        <is>
          <t>Must</t>
        </is>
      </c>
      <c r="G11" s="46" t="n">
        <v>8</v>
      </c>
      <c r="H11" s="47" t="inlineStr">
        <is>
          <t>HU-06</t>
        </is>
      </c>
      <c r="I11" s="47" t="inlineStr">
        <is>
          <t>HU-06 (S2)</t>
        </is>
      </c>
      <c r="J11" s="47" t="inlineStr">
        <is>
          <t>HU-06 (S2)</t>
        </is>
      </c>
      <c r="K11" s="46" t="inlineStr">
        <is>
          <t>DONE</t>
        </is>
      </c>
      <c r="L11" s="48" t="n">
        <v>1</v>
      </c>
      <c r="M11" s="47" t="n"/>
      <c r="N11" s="47" t="inlineStr">
        <is>
          <t>Entregada el 16/09/2026, adelantada del Sprint 3. Su dependencia HU-06 ya estaba DONE. Los tres criterios verificados con 306 pruebas automatizadas entre el servicio YOLO (117) y el grabador (189), 100% de cobertura en ambos, modelo YOLO11n entrenado de verdad y analisis de video real. Criterio 2: precision media 100% sobre 8 cargas del set de validacion, con oclusiones y sacos que vuelven (reporte_validacion.txt). ADVERTENCIA: el set es sintetico porque QUINOR aun no entrego fotogramas de la rampa; mide el contador, no el modelo con sacos de yute reales. La cifra de planta sale del piloto, con el dataset de HU-19. Repartida: el conteo vive en el nuevo servicio quinor/despacho/yolo (POST /analisis/yolo) y la escritura en el evento en el grabador, que tiene el clip. Hallazgo: con salto de fotogramas 2 el conteo daba cero (ByteTrack perdia los sacos, no el detector); el valor por defecto paso a 1 y el fallo ahora se avisa en lugar de devolver un cero silencioso. Cambio de esquema: nueva columna evento.diferencia_sacos. Ver README de quinor/despacho/yolo.</t>
        </is>
      </c>
    </row>
    <row r="12" ht="73.5" customHeight="1" s="32">
      <c r="A12" s="45" t="inlineStr">
        <is>
          <t>HU-08</t>
        </is>
      </c>
      <c r="B12" s="46" t="n">
        <v>4</v>
      </c>
      <c r="C12" s="47" t="inlineStr">
        <is>
          <t>Analisis IA</t>
        </is>
      </c>
      <c r="D12" s="47" t="inlineStr">
        <is>
          <t>Como supervisor de despacho, quiero que el sistema haga seguimiento de las personas presentes en la zona de carga durante el evento, para identificar si hubo personal no autorizado o movimientos anomalos.</t>
        </is>
      </c>
      <c r="E12" s="47" t="inlineStr">
        <is>
          <t>1. Se detecta y sigue a cada persona con un ID temporal durante el clip.
2. Se registra cuantas personas estuvieron en zona y el tiempo de permanencia.
3. No se realiza identificacion facial ni se guardan datos biometricos.</t>
        </is>
      </c>
      <c r="F12" s="46" t="inlineStr">
        <is>
          <t>Should</t>
        </is>
      </c>
      <c r="G12" s="46" t="n">
        <v>5</v>
      </c>
      <c r="H12" s="47" t="inlineStr">
        <is>
          <t>HU-06</t>
        </is>
      </c>
      <c r="I12" s="47" t="inlineStr">
        <is>
          <t>HU-06 (S2)</t>
        </is>
      </c>
      <c r="J12" s="47" t="inlineStr">
        <is>
          <t>HU-06 (S2)</t>
        </is>
      </c>
      <c r="K12" s="46" t="inlineStr">
        <is>
          <t>DONE</t>
        </is>
      </c>
      <c r="L12" s="48" t="n">
        <v>1</v>
      </c>
      <c r="M12" s="47" t="n"/>
      <c r="N12" s="47" t="inlineStr">
        <is>
          <t>Entregada el 16/09/2026, adelantada del Sprint 4. Su dependencia HU-06 ya estaba DONE. Los tres criterios verificados con 397 pruebas automatizadas entre el servicio YOLO (199), el grabador (198) y el orquestador (374 en total), 100% de cobertura en los tres, modelo entrenado y video real con operarios en el cuadro. Va en la misma pasada del video que HU-07: el clip ya esta abierto y ultralytics devuelve sacos y personas en la misma inferencia, asi que HU-08 no anade coste de GPU. Criterio 3 (sin identificacion facial ni biometria): se cumple por construccion, no por omision. De cada persona se guardan cuatro numeros (identificador del rastreador valido solo en ese clip, segundos en zona y dos fotogramas) y hay pruebas que vigilan la forma de los datos, de modo que anadir un recorte de imagen o un descriptor rompa la suite. Consecuencia asumida y documentada: si un operario sale del cuadro y vuelve se cuenta como dos presencias; es el precio de no identificar a nadie. Decisiones: la permanencia se mide dentro de una zona de carga configurable (ZONA_CARGA, se calibra en el piloto como la linea, apartado 9.1); "personal no habitual" de la RN-04 se resuelve con tres reglas por conteo y tiempo que no miran identidad (demasiadas personas a la vez, permanencia excesiva, gente sin sacos cruzando). Esa senal es el disparo que la RN-03 necesita para HU-09. Cambios de esquema: nueva tabla persona_en_evento y nueva columna evento.personal_anomalo (NULL mientras no se analiza, que no es lo mismo que False). Nuevo endpoint GET /eventos/{id}/personas y detalle en el dashboard con el aviso de que los identificadores son temporales. Ver README de quinor/despacho/yolo, apartado HU-08.</t>
        </is>
      </c>
    </row>
    <row r="13" ht="73.5" customHeight="1" s="32">
      <c r="A13" s="45" t="inlineStr">
        <is>
          <t>HU-09</t>
        </is>
      </c>
      <c r="B13" s="46" t="n">
        <v>4</v>
      </c>
      <c r="C13" s="47" t="inlineStr">
        <is>
          <t>Analisis IA</t>
        </is>
      </c>
      <c r="D13" s="47" t="inlineStr">
        <is>
          <t>Como supervisor de despacho, quiero que un modelo de vision-lenguaje describa lo ocurrido en el clip y asigne un nivel de severidad, para priorizar que eventos revisar primero.</t>
        </is>
      </c>
      <c r="E13" s="47" t="inlineStr">
        <is>
          <t>1. Solo se invoca cuando YOLO confirma diferencia de sacos o personal anomalo.
2. La respuesta es un JSON con descripcion, severidad (Baja/Media/Alta) y evidencia observada.
3. Si la API falla se reintenta 3 veces y luego se marca Pendiente de analisis.</t>
        </is>
      </c>
      <c r="F13" s="46" t="inlineStr">
        <is>
          <t>Must</t>
        </is>
      </c>
      <c r="G13" s="46" t="n">
        <v>5</v>
      </c>
      <c r="H13" s="47" t="inlineStr">
        <is>
          <t>HU-07, HU-08</t>
        </is>
      </c>
      <c r="I13" s="47" t="inlineStr">
        <is>
          <t>HU-07 (S3), HU-08 (S4)</t>
        </is>
      </c>
      <c r="J13" s="47" t="inlineStr">
        <is>
          <t>HU-07 (S3)</t>
        </is>
      </c>
      <c r="K13" s="46" t="inlineStr">
        <is>
          <t>DONE</t>
        </is>
      </c>
      <c r="L13" s="48" t="n">
        <v>1</v>
      </c>
      <c r="M13" s="47" t="n"/>
      <c r="N13" s="47" t="inlineStr">
        <is>
          <t>Entregada el 17/09/2026, adelantada del Sprint 4. Sus dos dependencias, HU-07 y HU-08, ya estaban DONE. Los tres criterios verificados con 1029 pruebas automatizadas entre los cuatro servicios (vlm 185, yolo 222, grabador 240, orquestador 382), 100% de cobertura en los cuatro, y de punta a punta con el modelo YOLO entrenado, video real y el proveedor contestando por HTTP. Nuevo servicio quinor/despacho/vlm con POST /analisis/vlm (apartado 6.6). Va aparte no por tamano sino porque es el unico servicio que sale a internet: asi esa salida queda en un solo sitio que se puede cortar y vigilar. DECISION IMPORTANTE: la severidad del evento sale de la RN-04, que es una regla con umbrales exactos, y no del modelo. Una alerta de madrugada (HU-10) y el orden de la cola (HU-11) no pueden depender de la temperatura de un modelo, y "Alta porque la diferencia fue de 3 sacos" se puede comprobar; "Alta porque el modelo lo dijo" no. La del modelo se guarda aparte como severidad_ia y de comparar las dos sale la concordancia semanal del apartado 9.2. Consecuencia buena: la severidad existe aunque el proveedor este caido, que es el riesgo del apartado 12. Criterio 1 (RN-03): la puerta esta en app/invocacion.py. Ademas del costo hay otro motivo, que quedo documentado: un analisis que aparece en todos los eventos deja de leerse. Criterio 3: tres reintentos con espera creciente, distinguiendo lo que se arregla esperando (429, 503) de lo que no (401, 400); al agotarlos el evento pasa a pendiente_analisis y vuelve a pendiente al reintentar con exito, tal como el apartado 5.3. Se anadio tambien la extraccion de fotogramas clave en la misma pasada de YOLO, elegidos por lo que ocurre en ellos (saco saliente, pico de personas, primer y ultimo saco) y guardados en MinIO junto al clip: alimentan al modelo y dejan resuelto el criterio 3 de HU-12. Cambios de esquema: evento.descripcion_ia, evento.severidad y evento.fotogramas_clave. PENDIENTE: la clave de un proveedor real. Todo esta probado contra un stub que habla el mismo dialecto (sim/vlm_stub.py); la primera llamada de verdad espera a que QUINOR decida proveedor y provea la clave. Ver README de quinor/despacho/vlm.</t>
        </is>
      </c>
    </row>
    <row r="14" ht="73.5" customHeight="1" s="32">
      <c r="A14" s="45" t="inlineStr">
        <is>
          <t>HU-10</t>
        </is>
      </c>
      <c r="B14" s="46" t="n">
        <v>4</v>
      </c>
      <c r="C14" s="47" t="inlineStr">
        <is>
          <t>Alertas</t>
        </is>
      </c>
      <c r="D14" s="47" t="inlineStr">
        <is>
          <t>Como supervisor de despacho, quiero recibir una notificacion inmediata segun la severidad del evento, para actuar antes de que el contenedor salga de planta.</t>
        </is>
      </c>
      <c r="E14" s="47" t="inlineStr">
        <is>
          <t>1. La notificacion se envia por correo en los tres niveles. Alta: a supervisores y administradores, con asunto marcado y prioridad alta; Media: a supervisores; Baja: a supervisores, con prioridad normal. 2. La notificacion incluye orden, diferencia y enlace al evento. 3. La notificacion se envia en menos de 60 s tras el analisis.</t>
        </is>
      </c>
      <c r="F14" s="46" t="inlineStr">
        <is>
          <t>Must</t>
        </is>
      </c>
      <c r="G14" s="46" t="n">
        <v>3</v>
      </c>
      <c r="H14" s="47" t="inlineStr">
        <is>
          <t>HU-09</t>
        </is>
      </c>
      <c r="I14" s="47" t="inlineStr">
        <is>
          <t>HU-09 (S4)</t>
        </is>
      </c>
      <c r="J14" s="47" t="inlineStr">
        <is>
          <t>No</t>
        </is>
      </c>
      <c r="K14" s="46" t="inlineStr">
        <is>
          <t>DONE</t>
        </is>
      </c>
      <c r="L14" s="48" t="n">
        <v>1</v>
      </c>
      <c r="M14" s="47" t="n"/>
      <c r="N14" s="47" t="inlineStr">
        <is>
          <t>Entregada el 18/09/2026, adelantada del Sprint 4. Su unica dependencia, HU-09, ya estaba DONE. CAMBIO DE ALCANCE acordado el 18/09/2026 y aplicado antes de desarrollar: esta historia queda solo con correo. Slack sale porque se esta evaluando Teams en su lugar, y el SMS sale con el: los dos son canales externos con proveedor, clave y costo por mensaje, y se evaluan juntos en una historia posterior. El criterio 1 se reescribio en consecuencia, aqui y en el documento funcional (apartados 2, 3, 5.2, 5.4 y 6.4). Los criterios 2 y 3 no cambian. DECISION IMPORTANTE: al quedarse las tres severidades en un solo canal, el criterio 1 se habria quedado sin contenido, porque las tres alertas serian el mismo correo, que es la forma mas rapida de que un supervisor deje de abrirlos. La severidad pasa a decidir a quien se avisa y con que urgencia: Alta a supervisores y administradores con asunto [ALERTA ALTA] y prioridad alta; Media y Baja solo a supervisores y con prioridad normal. El rol Consulta no recibe alertas de ningun nivel: es de solo lectura del dashboard y no le corresponde actuar sobre una carga. Los tres criterios verificados con 1220 pruebas automatizadas entre los cinco servicios (notificaciones 144, vlm 185, yolo 222, grabador 279, orquestador 390), 100% de cobertura en los cinco, y de punta a punta con MySQL, un buzon de correo real (mailpit) y el dashboard: el aviso salio 0,01 s despues del analisis, el correo llego a los dos supervisores y al administrador con X-Priority 1, la segunda vuelta del sondeo no mando un segundo correo, y los niveles Media y Baja salieron solo a supervisores y sin prioridad. Nuevo servicio quinor/despacho/notificaciones con POST /notificaciones (apartado 6.4, aiosmtplib). Va aparte por lo mismo que el de vision-lenguaje: es uno de los dos servicios que hablan con un servidor de fuera, y tenerlo aparte deja esa salida en un sitio que se puede cortar y vigilar. Los destinatarios salen de la tabla usuario de HU-14 y no de una lista en el entorno: dar de alta a alguien en el dashboard basta para que reciba alertas, y darlo de baja lo corta el mismo dia. Criterio 3: el reloj lo mide el grabador, que es el unico que sabe cuando quedo escrita la severidad, y el aviso sale en la misma pasada del analisis; esperar a la vuelta siguiente del sondeo gastaria media ventana sin hacer nada. El retraso real se guarda en notificacion.segundos_desde_analisis y se ve en el dashboard, de modo que el criterio se mide y no se supone. El correo no lleva fotogramas adjuntos: son imagenes de la zona de carga con personas dentro y el apartado 8 las quiere en la red interna; el enlace del criterio 2 lleva al dashboard, que pide sesion. Cambios de esquema: tabla notificacion, con clave unica (evento_id, canal) que impide el correo repetido en cada vuelta del sondeo. Un aviso fallido no cuenta como avisado y su fila se reemplaza en el siguiente intento: si contara, un relay caido un minuto dejaria un evento Alto sin correo para siempre. La columna canal se conserva aunque hoy solo valga 'correo', para que Teams o el SMS tengan su fila cuando entren. PENDIENTE: los datos del relay corporativo (host, puerto, credenciales y buzon de salida). Todo esta probado contra mailpit y contra un servidor SMTP real levantado en las pruebas; el primer correo de verdad espera a que QUINOR provea esos datos. Ver README de quinor/despacho/notificaciones.</t>
        </is>
      </c>
    </row>
    <row r="15" ht="73.5" customHeight="1" s="32">
      <c r="A15" s="45" t="inlineStr">
        <is>
          <t>HU-11</t>
        </is>
      </c>
      <c r="B15" s="46" t="n">
        <v>2</v>
      </c>
      <c r="C15" s="47" t="inlineStr">
        <is>
          <t>Dashboard</t>
        </is>
      </c>
      <c r="D15" s="47" t="inlineStr">
        <is>
          <t>Como supervisor de despacho, quiero ver la lista de eventos con filtros por fecha, orden, severidad y estado, para encontrar rapidamente los casos que debo atender.</t>
        </is>
      </c>
      <c r="E15" s="47" t="inlineStr">
        <is>
          <t>1. La tabla muestra ID, fecha, orden, diferencia, severidad y estado. La columna severidad queda vacia hasta HU-09.
2. Los filtros se combinan y la tabla se actualiza en menos de 2 s.
3. Por defecto se muestran los eventos Pendientes de los ultimos 7 dias.</t>
        </is>
      </c>
      <c r="F15" s="46" t="inlineStr">
        <is>
          <t>Must</t>
        </is>
      </c>
      <c r="G15" s="46" t="n">
        <v>3</v>
      </c>
      <c r="H15" s="47" t="inlineStr">
        <is>
          <t>HU-03</t>
        </is>
      </c>
      <c r="I15" s="47" t="inlineStr">
        <is>
          <t>HU-03 (S2)</t>
        </is>
      </c>
      <c r="J15" s="47" t="inlineStr">
        <is>
          <t>No</t>
        </is>
      </c>
      <c r="K15" s="46" t="inlineStr">
        <is>
          <t>DONE</t>
        </is>
      </c>
      <c r="L15" s="48" t="n">
        <v>1</v>
      </c>
      <c r="M15" s="47" t="n"/>
      <c r="N15" s="47" t="inlineStr">
        <is>
          <t>Entregada el 03/10/2026, adelantada del Sprint 2. Su unica dependencia, HU-03, ya estaba DONE. Los tres criterios verificados con 433 pruebas en el orquestador, 100 % de cobertura, y de punta a punta contra MySQL con 800 eventos sembrados en 60 dias y el dashboard real. HALLAZGO IMPORTANTE: el listado que existia armaba cada fila con cuatro consultas (la pesada, la orden y dos lecturas de auditoria para la tolerancia aplicada y la ventana del clip). Con 200 filas eran mas de 800 consultas. Medido por HTTP contra 800 eventos: GET /eventos?limite=200 tardaba 0,55 s con ~801 consultas; la bandeja nueva tarda 0,02 s con 2. Hoy el criterio 2 se cumplia igual, pero crecia con el numero de filas, y la pantalla que mas se usa es la que peor envejece. Hay una prueba que cuenta las sentencias que llegan al motor y falla si alguien vuelve a leer algo por fila. DECISION: ruta nueva GET /eventos/bandeja en lugar de ampliar GET /eventos. Son dos cosas distintas: el detalle devuelve el evento completo y se paga una vez; la bandeja devuelve lo justo que la tabla pinta, paginado. La tolerancia aplicada y la ventana del clip no viajan en la fila justamente por eso, y el dashboard las pide con GET /eventos/{id} solo cuando alguien abre un evento. Criterio 3: los valores por defecto se aplican por campo y no en bloque. Pedir un estado concreto no arrastra la ventana de 7 dias, y filtrar por severidad libera el defecto de Pendiente, porque quien busca todas las Altas las quiere en cualquier estado. La respuesta declara en filtros.por_defecto cuales puso el sistema, y la pantalla lo dice: sin ese aviso, un supervisor que ve tres eventos puede irse creyendo que son todos los que existen. sin_defectos=true busca en todo el historico y es explicito a proposito, pensado para HU-15. Ademas de los filtros del criterio se anadieron paginacion con total, busqueda parcial del numero de orden (el supervisor recuerda 0148, no la orden entera) y un filtro de solo con faltante de sacos, que separa el hurto de bultos de la sustitucion de producto. El resumen cuenta aparte las cargas con peso corto y los sacos cuadrados, que es la firma de la sustitucion. Sin cambios de esquema: los indices ix_evento_estado_creado y ix_evento_severidad ya existian desde HU-03 y HU-09, y son los que sostienen los filtros por defecto. Desbloquea HU-12 (detalle), HU-13 (clasificar), HU-15 (reportes) y HU-20 (exportar).</t>
        </is>
      </c>
    </row>
    <row r="16" ht="73.5" customHeight="1" s="32">
      <c r="A16" s="45" t="inlineStr">
        <is>
          <t>HU-12</t>
        </is>
      </c>
      <c r="B16" s="46" t="n">
        <v>4</v>
      </c>
      <c r="C16" s="47" t="inlineStr">
        <is>
          <t>Dashboard</t>
        </is>
      </c>
      <c r="D16" s="47" t="inlineStr">
        <is>
          <t>Como supervisor de despacho, quiero abrir el detalle de un evento y reproducir su clip junto con el analisis, para verificar con mis propios ojos lo que reporto el sistema.</t>
        </is>
      </c>
      <c r="E16" s="47" t="inlineStr">
        <is>
          <t>1. El detalle muestra pesos, conteo de sacos, personas detectadas, descripcion y severidad.
2. El clip se reproduce en el navegador con controles de pausa y avance.
3. Se muestra el fotograma donde se detecto la anomalia.</t>
        </is>
      </c>
      <c r="F16" s="46" t="inlineStr">
        <is>
          <t>Must</t>
        </is>
      </c>
      <c r="G16" s="46" t="n">
        <v>3</v>
      </c>
      <c r="H16" s="47" t="inlineStr">
        <is>
          <t>HU-06, HU-09, HU-11</t>
        </is>
      </c>
      <c r="I16" s="47" t="inlineStr">
        <is>
          <t>HU-06 (S2), HU-09 (S4), HU-11 (S2)</t>
        </is>
      </c>
      <c r="J16" s="47" t="inlineStr">
        <is>
          <t>HU-06 (S2), HU-11 (S2)</t>
        </is>
      </c>
      <c r="K16" s="46" t="inlineStr">
        <is>
          <t>DONE</t>
        </is>
      </c>
      <c r="L16" s="48" t="n">
        <v>1</v>
      </c>
      <c r="M16" s="47" t="n"/>
      <c r="N16" s="47" t="inlineStr">
        <is>
          <t>Entregada el 08/10/2026, adelantada del Sprint 4. Los tres criterios verificados: el detalle trae pesos, conteo, personas, descripcion y severidad en GET /eventos/{id}/detalle (tres consultas fijas, con una presencia y con cuarenta); el clip se reproduce en el navegador con un enlace firmado de MinIO que caduca a los 15 minutos, comprobado en Chromium con pausa y avance; y el fotograma de la anomalia se muestra y abre el reproductor en su segundo. 87 pruebas nuevas, cobertura 100 %. Aviso: el clip es Matroska (.mkv), que Chrome y Edge reproducen pero Firefox y Safari no; la pantalla lo advierte.</t>
        </is>
      </c>
    </row>
    <row r="17" ht="73.5" customHeight="1" s="32">
      <c r="A17" s="45" t="inlineStr">
        <is>
          <t>HU-13</t>
        </is>
      </c>
      <c r="B17" s="46" t="n">
        <v>4</v>
      </c>
      <c r="C17" s="47" t="inlineStr">
        <is>
          <t>Dashboard</t>
        </is>
      </c>
      <c r="D17" s="47" t="inlineStr">
        <is>
          <t>Como supervisor de despacho, quiero marcar un evento como Confirmado o Falso positivo y anadir un comentario, para dejar constancia de la decision tomada.</t>
        </is>
      </c>
      <c r="E17" s="47" t="inlineStr">
        <is>
          <t>1. El cambio de estado exige un comentario de al menos 10 caracteres.
2. Se registra usuario y fecha del cambio.
3. Un evento Confirmado no puede volver a Pendiente.</t>
        </is>
      </c>
      <c r="F17" s="46" t="inlineStr">
        <is>
          <t>Must</t>
        </is>
      </c>
      <c r="G17" s="46" t="n">
        <v>2</v>
      </c>
      <c r="H17" s="47" t="inlineStr">
        <is>
          <t>HU-12, HU-14</t>
        </is>
      </c>
      <c r="I17" s="47" t="inlineStr">
        <is>
          <t>HU-12 (S4), HU-14 (S1)</t>
        </is>
      </c>
      <c r="J17" s="47" t="inlineStr">
        <is>
          <t>HU-14 (S1)</t>
        </is>
      </c>
      <c r="K17" s="46" t="inlineStr">
        <is>
          <t>DONE</t>
        </is>
      </c>
      <c r="L17" s="48" t="n">
        <v>1</v>
      </c>
      <c r="M17" s="47" t="n"/>
      <c r="N17" s="47" t="inlineStr">
        <is>
          <t>Entregada el 18/10/2026, adelantada del Sprint 4. Con ella se cierra el MVP de 14 historias. Los tres criterios verificados: el cambio de estado exige un comentario de al menos 10 caracteres, contados sobre el texto sin espacios de los extremos, y la restriccion ck_veredicto_comentario lo garantiza tambien en la base; cada decision guarda usuario y fecha en la tabla veredicto, con el usuario sacado del token y no del cuerpo de la peticion; y un evento Confirmado no puede volver a un estado abierto, regla puesta tres veces (tabla de transiciones, contrato de la API y trigger trg_evento_no_reabrir). POST /eventos/{id}/veredicto con rol Supervisor o Administrador; el veredicto y su historial se leen dentro del detalle de HU-12, que pasa de tres a cuatro consultas fijas. Una correccion entre Confirmado y Falso positivo escribe una fila nueva y no borra la anterior. 59 pruebas nuevas, cobertura 100 %, y la pantalla verificada en Chromium. 03/10/2026: movida del Sprint 3 al Sprint 4 junto con HU-12.</t>
        </is>
      </c>
    </row>
    <row r="18" ht="73.5" customHeight="1" s="32">
      <c r="A18" s="45" t="inlineStr">
        <is>
          <t>HU-14</t>
        </is>
      </c>
      <c r="B18" s="46" t="n">
        <v>1</v>
      </c>
      <c r="C18" s="47" t="inlineStr">
        <is>
          <t>Seguridad</t>
        </is>
      </c>
      <c r="D18" s="47" t="inlineStr">
        <is>
          <t>Como administrador del sistema, quiero gestionar usuarios y roles (Administrador, Supervisor, Consulta), para que cada persona solo acceda a lo que le corresponde.</t>
        </is>
      </c>
      <c r="E18" s="47" t="inlineStr">
        <is>
          <t>1. Se pueden crear, desactivar y asignar roles a usuarios.
2. El rol Consulta no puede cambiar estados ni configuraciones.
3. Las contrasenas se almacenan con hash bcrypt.
4. La autenticacion usa token opaco en tabla api_token, revocable desde el dashboard.</t>
        </is>
      </c>
      <c r="F18" s="46" t="inlineStr">
        <is>
          <t>Must</t>
        </is>
      </c>
      <c r="G18" s="46" t="n">
        <v>3</v>
      </c>
      <c r="H18" s="47" t="inlineStr">
        <is>
          <t>Ninguna</t>
        </is>
      </c>
      <c r="I18" s="47" t="inlineStr">
        <is>
          <t>-</t>
        </is>
      </c>
      <c r="J18" s="47" t="inlineStr">
        <is>
          <t>No</t>
        </is>
      </c>
      <c r="K18" s="46" t="inlineStr">
        <is>
          <t>DONE</t>
        </is>
      </c>
      <c r="L18" s="48" t="n">
        <v>1</v>
      </c>
      <c r="M18" s="47" t="n"/>
      <c r="N18" s="47" t="inlineStr">
        <is>
          <t>Entregada el 14/09/2026. Los cuatro criterios verificados con 214 pruebas automatizadas y 100% de cobertura. Autenticacion por token opaco en la tabla api_token, con revocacion inmediata desde el dashboard. Ver README, apartado HU-14. 03/10/2026: renumerada desde HU-15 al redefinir el MVP de 14 historias. El codigo y los README aun la citan como HU-15.</t>
        </is>
      </c>
    </row>
    <row r="19" ht="15" customHeight="1" s="32">
      <c r="A19" s="49" t="inlineStr">
        <is>
          <t>TOTAL</t>
        </is>
      </c>
      <c r="B19" s="50" t="n"/>
      <c r="C19" s="50" t="n"/>
      <c r="D19" s="50" t="n"/>
      <c r="E19" s="50" t="n"/>
      <c r="F19" s="50" t="n"/>
      <c r="G19" s="51">
        <f>SUM(G5:G18)</f>
        <v/>
      </c>
      <c r="H19" s="50" t="n"/>
      <c r="I19" s="50" t="n"/>
      <c r="J19" s="50" t="n"/>
      <c r="K19" s="50" t="n"/>
      <c r="L19" s="50" t="n"/>
      <c r="M19" s="50" t="n"/>
      <c r="N19" s="50" t="n"/>
    </row>
    <row r="20" s="32"/>
    <row r="21" s="32"/>
    <row r="22" s="32"/>
    <row r="23" s="32"/>
    <row r="24" s="32"/>
    <row r="25" s="32"/>
  </sheetData>
  <conditionalFormatting sqref="K5:K18">
    <cfRule type="cellIs" priority="1" operator="equal" dxfId="0">
      <formula>"NEW"</formula>
    </cfRule>
    <cfRule type="cellIs" priority="2" operator="equal" dxfId="1">
      <formula>"PENDING"</formula>
    </cfRule>
    <cfRule type="cellIs" priority="3" operator="equal" dxfId="2">
      <formula>"ACTIVE"</formula>
    </cfRule>
    <cfRule type="cellIs" priority="4" operator="equal" dxfId="3">
      <formula>"DONE"</formula>
    </cfRule>
  </conditionalFormatting>
  <dataValidations count="2">
    <dataValidation sqref="K5:K18" showDropDown="0" showInputMessage="0" showErrorMessage="0" allowBlank="1" type="list">
      <formula1>"NEW,PENDING,ACTIVE,DONE"</formula1>
    </dataValidation>
    <dataValidation sqref="L5:L18" showDropDown="0" showInputMessage="0" showErrorMessage="0" allowBlank="1" type="decimal"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O11"/>
  <sheetViews>
    <sheetView workbookViewId="0">
      <pane ySplit="4" topLeftCell="A5" activePane="bottomLeft" state="frozen"/>
      <selection pane="bottomLeft" activeCell="A1" sqref="A1"/>
    </sheetView>
  </sheetViews>
  <sheetFormatPr baseColWidth="8" defaultColWidth="8.6796875" defaultRowHeight="15" zeroHeight="0" outlineLevelRow="0"/>
  <cols>
    <col width="9" customWidth="1" style="31" min="1" max="1"/>
    <col width="7" customWidth="1" style="31" min="2" max="2"/>
    <col width="17" customWidth="1" style="31" min="3" max="3"/>
    <col width="64" customWidth="1" style="31" min="4" max="4"/>
    <col width="62" customWidth="1" style="31" min="5" max="5"/>
    <col width="7" customWidth="1" style="31" min="6" max="6"/>
    <col width="6" customWidth="1" style="31" min="7" max="7"/>
    <col width="16" customWidth="1" style="31" min="8" max="8"/>
    <col width="24" customWidth="1" style="31" min="9" max="9"/>
    <col width="22" customWidth="1" style="31" min="10" max="10"/>
    <col width="11" customWidth="1" style="31" min="11" max="11"/>
    <col width="10" customWidth="1" style="31" min="12" max="12"/>
    <col width="16" customWidth="1" style="31" min="13" max="13"/>
    <col width="40" customWidth="1" style="31" min="14" max="14"/>
    <col width="40" customWidth="1" style="32" min="15" max="15"/>
  </cols>
  <sheetData>
    <row r="1" ht="17.25" customHeight="1" s="32">
      <c r="A1" s="33" t="inlineStr">
        <is>
          <t>Backlog post-MVP - historias postergadas</t>
        </is>
      </c>
    </row>
    <row r="2" ht="15" customHeight="1" s="32">
      <c r="A2" s="34" t="inlineStr">
        <is>
          <t>6 historias (17 pts) fuera del MVP. Columna Estado editable. La columna O explica por que se posterga cada una.</t>
        </is>
      </c>
    </row>
    <row r="4" ht="23.25" customHeight="1" s="32">
      <c r="A4" s="44" t="inlineStr">
        <is>
          <t>ID</t>
        </is>
      </c>
      <c r="B4" s="44" t="inlineStr">
        <is>
          <t>Sprint</t>
        </is>
      </c>
      <c r="C4" s="44" t="inlineStr">
        <is>
          <t>Categoria</t>
        </is>
      </c>
      <c r="D4" s="44" t="inlineStr">
        <is>
          <t>Historia de usuario</t>
        </is>
      </c>
      <c r="E4" s="44" t="inlineStr">
        <is>
          <t>Criterios de aceptacion</t>
        </is>
      </c>
      <c r="F4" s="44" t="inlineStr">
        <is>
          <t>Prio.</t>
        </is>
      </c>
      <c r="G4" s="44" t="inlineStr">
        <is>
          <t>Pts.</t>
        </is>
      </c>
      <c r="H4" s="44" t="inlineStr">
        <is>
          <t>Depende de</t>
        </is>
      </c>
      <c r="I4" s="44" t="inlineStr">
        <is>
          <t>Sprint de cada dependencia</t>
        </is>
      </c>
      <c r="J4" s="44" t="inlineStr">
        <is>
          <t>Dependencia cruzada</t>
        </is>
      </c>
      <c r="K4" s="44" t="inlineStr">
        <is>
          <t>Estado</t>
        </is>
      </c>
      <c r="L4" s="44" t="inlineStr">
        <is>
          <t>Avance %</t>
        </is>
      </c>
      <c r="M4" s="44" t="inlineStr">
        <is>
          <t>Responsable</t>
        </is>
      </c>
      <c r="N4" s="44" t="inlineStr">
        <is>
          <t>Observaciones</t>
        </is>
      </c>
      <c r="O4" s="44" t="inlineStr">
        <is>
          <t>Motivo de postergacion</t>
        </is>
      </c>
    </row>
    <row r="5" ht="73.5" customHeight="1" s="32">
      <c r="A5" s="45" t="inlineStr">
        <is>
          <t>HU-15</t>
        </is>
      </c>
      <c r="B5" s="46" t="n">
        <v>5</v>
      </c>
      <c r="C5" s="47" t="inlineStr">
        <is>
          <t>Reportes</t>
        </is>
      </c>
      <c r="D5" s="47" t="inlineStr">
        <is>
          <t>Como gerente de operaciones, quiero generar un reporte semanal de discrepancias con totales por severidad, turno y estado, para medir la tendencia de perdidas y falsos positivos.</t>
        </is>
      </c>
      <c r="E5" s="47" t="inlineStr">
        <is>
          <t>1. El reporte se genera en PDF y Excel desde el dashboard.
2. Incluye tabla resumen y grafico de eventos por dia.
3. Se puede elegir cualquier rango de fechas.</t>
        </is>
      </c>
      <c r="F5" s="46" t="inlineStr">
        <is>
          <t>Should</t>
        </is>
      </c>
      <c r="G5" s="46" t="n">
        <v>3</v>
      </c>
      <c r="H5" s="47" t="inlineStr">
        <is>
          <t>HU-11</t>
        </is>
      </c>
      <c r="I5" s="47" t="inlineStr">
        <is>
          <t>HU-11 (S2)</t>
        </is>
      </c>
      <c r="J5" s="47" t="inlineStr">
        <is>
          <t>HU-11 (S2)</t>
        </is>
      </c>
      <c r="K5" s="46" t="inlineStr">
        <is>
          <t>PENDING</t>
        </is>
      </c>
      <c r="L5" s="48" t="n">
        <v>0</v>
      </c>
      <c r="M5" s="47" t="n"/>
      <c r="N5" s="47" t="inlineStr">
        <is>
          <t>Postergada fuera del MVP el 03/10/2026. Renumerada desde HU-14 para que la hoja Historias quede sin huecos. Excluida del conteo del sprint: depende de historias de otro sprint.</t>
        </is>
      </c>
      <c r="O5" s="47" t="inlineStr">
        <is>
          <t>Mide tendencias de varias semanas; no hace falta para validar el MVP ni para actuar antes de que salga el contenedor.</t>
        </is>
      </c>
    </row>
    <row r="6" ht="73.5" customHeight="1" s="32">
      <c r="A6" s="45" t="inlineStr">
        <is>
          <t>HU-16</t>
        </is>
      </c>
      <c r="B6" s="46" t="n">
        <v>4</v>
      </c>
      <c r="C6" s="47" t="inlineStr">
        <is>
          <t>Seguridad</t>
        </is>
      </c>
      <c r="D6" s="47" t="inlineStr">
        <is>
          <t>Como auditor interno, quiero consultar el historial de acciones realizadas sobre cada evento, para contar con evidencia trazable ante una investigacion de personal.</t>
        </is>
      </c>
      <c r="E6" s="47" t="inlineStr">
        <is>
          <t>1. Cada cambio de estado, comentario o configuracion queda en una tabla de auditoria inmutable.
2. El historial es visible en el detalle del evento.
3. Los registros de auditoria no pueden borrarse desde la aplicacion.</t>
        </is>
      </c>
      <c r="F6" s="46" t="inlineStr">
        <is>
          <t>Should</t>
        </is>
      </c>
      <c r="G6" s="46" t="n">
        <v>2</v>
      </c>
      <c r="H6" s="47" t="inlineStr">
        <is>
          <t>HU-13</t>
        </is>
      </c>
      <c r="I6" s="47" t="inlineStr">
        <is>
          <t>HU-13 (S4)</t>
        </is>
      </c>
      <c r="J6" s="47" t="inlineStr">
        <is>
          <t>No</t>
        </is>
      </c>
      <c r="K6" s="46" t="inlineStr">
        <is>
          <t>PENDING</t>
        </is>
      </c>
      <c r="L6" s="48" t="n">
        <v>0</v>
      </c>
      <c r="M6" s="47" t="n"/>
      <c r="N6" s="47" t="inlineStr">
        <is>
          <t>Excluida del conteo del sprint: depende de historias de otro sprint. 03/10/2026: HU-13 paso al Sprint 4, la dependencia deja de ser cruzada.</t>
        </is>
      </c>
      <c r="O6" s="47" t="inlineStr">
        <is>
          <t>Los criterios 1 y 3 ya los garantiza el motor (tabla auditoria y triggers). Solo falta mostrar el historial, que no afecta a ningun indicador del piloto.</t>
        </is>
      </c>
    </row>
    <row r="7" ht="73.5" customHeight="1" s="32">
      <c r="A7" s="45" t="inlineStr">
        <is>
          <t>HU-17</t>
        </is>
      </c>
      <c r="B7" s="46" t="n">
        <v>1</v>
      </c>
      <c r="C7" s="47" t="inlineStr">
        <is>
          <t>Plataforma</t>
        </is>
      </c>
      <c r="D7" s="47" t="inlineStr">
        <is>
          <t>Como administrador del sistema, quiero que el analisis de video se procese en cola con reintentos automaticos, para que una falla temporal no deje eventos sin analizar.</t>
        </is>
      </c>
      <c r="E7" s="47" t="inlineStr">
        <is>
          <t>1. Cada analisis es una tarea Celery con hasta 3 reintentos y espera exponencial.
2. Las tareas fallidas quedan visibles en el panel de salud.
3. El orquestador nunca bloquea el registro de pesadas mientras analiza video.</t>
        </is>
      </c>
      <c r="F7" s="46" t="inlineStr">
        <is>
          <t>Must</t>
        </is>
      </c>
      <c r="G7" s="46" t="n">
        <v>3</v>
      </c>
      <c r="H7" s="47" t="inlineStr">
        <is>
          <t>HU-03</t>
        </is>
      </c>
      <c r="I7" s="47" t="inlineStr">
        <is>
          <t>HU-03 (S2)</t>
        </is>
      </c>
      <c r="J7" s="47" t="inlineStr">
        <is>
          <t>HU-03 (S2)</t>
        </is>
      </c>
      <c r="K7" s="46" t="inlineStr">
        <is>
          <t>PENDING</t>
        </is>
      </c>
      <c r="L7" s="48" t="n">
        <v>0</v>
      </c>
      <c r="M7" s="47" t="n"/>
      <c r="N7" s="47" t="inlineStr">
        <is>
          <t>Excluida del conteo del sprint: dependia de HU-03, del Sprint 2. Al 14/09/2026 esa dependencia esta DONE, asi que HU-17 ya no esta bloqueada y se puede planificar. Cambiar su estado a NEW es una decision de planificacion: subiria los puntos computables del Sprint 1 de 11 a 14.</t>
        </is>
      </c>
      <c r="O7" s="47" t="inlineStr">
        <is>
          <t>El bucle del grabador ya hace de worker con reintentos y el criterio 3 se cumple por estar en otro proceso. Su criterio 2 depende de HU-18. Queda PENDING por decision del usuario.</t>
        </is>
      </c>
    </row>
    <row r="8" ht="73.5" customHeight="1" s="32">
      <c r="A8" s="45" t="inlineStr">
        <is>
          <t>HU-18</t>
        </is>
      </c>
      <c r="B8" s="46" t="n">
        <v>5</v>
      </c>
      <c r="C8" s="47" t="inlineStr">
        <is>
          <t>Plataforma</t>
        </is>
      </c>
      <c r="D8" s="47" t="inlineStr">
        <is>
          <t>Como administrador del sistema, quiero ver un panel de salud con el estado de bascula, camaras, cola de tareas y servicios de IA, para detectar fallas del sistema antes de que se pierdan eventos.</t>
        </is>
      </c>
      <c r="E8" s="47" t="inlineStr">
        <is>
          <t>1. Cada componente muestra estado OK, Advertencia o Error y ultima verificacion.
2. Un componente en Error genera una alerta al administrador.
3. El panel se actualiza cada 30 s.</t>
        </is>
      </c>
      <c r="F8" s="46" t="inlineStr">
        <is>
          <t>Should</t>
        </is>
      </c>
      <c r="G8" s="46" t="n">
        <v>3</v>
      </c>
      <c r="H8" s="47" t="inlineStr">
        <is>
          <t>HU-01, HU-05, HU-17</t>
        </is>
      </c>
      <c r="I8" s="47" t="inlineStr">
        <is>
          <t>HU-01 (S1), HU-05 (S2), HU-17 (S1)</t>
        </is>
      </c>
      <c r="J8" s="47" t="inlineStr">
        <is>
          <t>HU-01 (S1), HU-05 (S2), HU-17 (S1)</t>
        </is>
      </c>
      <c r="K8" s="46" t="inlineStr">
        <is>
          <t>PENDING</t>
        </is>
      </c>
      <c r="L8" s="48" t="n">
        <v>0</v>
      </c>
      <c r="M8" s="47" t="n"/>
      <c r="N8" s="47" t="inlineStr">
        <is>
          <t>Excluida del conteo del sprint: depende de historias de otro sprint.</t>
        </is>
      </c>
      <c r="O8" s="47" t="inlineStr">
        <is>
          <t>Depende de HU-17. Mientras tanto salud_componente y GET /salud registran los fallos.</t>
        </is>
      </c>
    </row>
    <row r="9" ht="73.5" customHeight="1" s="32">
      <c r="A9" s="45" t="inlineStr">
        <is>
          <t>HU-19</t>
        </is>
      </c>
      <c r="B9" s="46" t="n">
        <v>5</v>
      </c>
      <c r="C9" s="47" t="inlineStr">
        <is>
          <t>Analisis IA</t>
        </is>
      </c>
      <c r="D9" s="47" t="inlineStr">
        <is>
          <t>Como ingeniero de datos, quiero reentrenar el modelo YOLO con imagenes etiquetadas de sacos de quinua de la planta, para mejorar la precision del conteo con datos propios.</t>
        </is>
      </c>
      <c r="E9" s="47" t="inlineStr">
        <is>
          <t>1. Existe un script que toma un dataset en formato YOLO y entrena un nuevo modelo.
2. El nuevo modelo solo se despliega si supera la precision del anterior en el set de validacion.
3. Se conserva el historial de versiones del modelo.</t>
        </is>
      </c>
      <c r="F9" s="46" t="inlineStr">
        <is>
          <t>Should</t>
        </is>
      </c>
      <c r="G9" s="46" t="n">
        <v>5</v>
      </c>
      <c r="H9" s="47" t="inlineStr">
        <is>
          <t>HU-07</t>
        </is>
      </c>
      <c r="I9" s="47" t="inlineStr">
        <is>
          <t>HU-07 (S3)</t>
        </is>
      </c>
      <c r="J9" s="47" t="inlineStr">
        <is>
          <t>HU-07 (S3)</t>
        </is>
      </c>
      <c r="K9" s="46" t="inlineStr">
        <is>
          <t>PENDING</t>
        </is>
      </c>
      <c r="L9" s="48" t="n">
        <v>0</v>
      </c>
      <c r="M9" s="47" t="n"/>
      <c r="N9" s="47" t="inlineStr">
        <is>
          <t>Desbloqueada el 16/09/2026: HU-07, su unica dependencia, esta DONE. Es ademas la que sustituye el set sintetico de validacion por el dataset real etiquetado de la rampa y versiona el modelo en la tabla modelo_version; mientras tanto el nombre del archivo de pesos hace de version y viaja en cada respuesta del servicio.</t>
        </is>
      </c>
      <c r="O9" s="47" t="inlineStr">
        <is>
          <t>Requiere el dataset real de sacos de yute que debe aportar QUINOR. Encaja despues del piloto.</t>
        </is>
      </c>
    </row>
    <row r="10" ht="73.5" customHeight="1" s="32">
      <c r="A10" s="45" t="inlineStr">
        <is>
          <t>HU-20</t>
        </is>
      </c>
      <c r="B10" s="46" t="n">
        <v>5</v>
      </c>
      <c r="C10" s="47" t="inlineStr">
        <is>
          <t>Reportes</t>
        </is>
      </c>
      <c r="D10" s="47" t="inlineStr">
        <is>
          <t>Como gerente de operaciones, quiero exportar la lista de eventos filtrada a CSV, para analizar la informacion en otras herramientas.</t>
        </is>
      </c>
      <c r="E10" s="47" t="inlineStr">
        <is>
          <t>1. El boton Exportar respeta los filtros activos.
2. El archivo incluye todas las columnas del evento y su estado.
3. La exportacion de hasta 10 000 eventos tarda menos de 10 s.</t>
        </is>
      </c>
      <c r="F10" s="46" t="inlineStr">
        <is>
          <t>Could</t>
        </is>
      </c>
      <c r="G10" s="46" t="n">
        <v>1</v>
      </c>
      <c r="H10" s="47" t="inlineStr">
        <is>
          <t>HU-11</t>
        </is>
      </c>
      <c r="I10" s="47" t="inlineStr">
        <is>
          <t>HU-11 (S2)</t>
        </is>
      </c>
      <c r="J10" s="47" t="inlineStr">
        <is>
          <t>HU-11 (S2)</t>
        </is>
      </c>
      <c r="K10" s="46" t="inlineStr">
        <is>
          <t>PENDING</t>
        </is>
      </c>
      <c r="L10" s="48" t="n">
        <v>0</v>
      </c>
      <c r="M10" s="47" t="n"/>
      <c r="N10" s="47" t="inlineStr">
        <is>
          <t>Excluida del conteo del sprint: depende de historias de otro sprint.</t>
        </is>
      </c>
      <c r="O10" s="47" t="inlineStr">
        <is>
          <t>Prioridad Could, la menor del backlog. Analisis fuera del sistema.</t>
        </is>
      </c>
    </row>
    <row r="11" ht="15" customHeight="1" s="32">
      <c r="A11" s="49" t="inlineStr">
        <is>
          <t>TOTAL</t>
        </is>
      </c>
      <c r="B11" s="50" t="n"/>
      <c r="C11" s="50" t="n"/>
      <c r="D11" s="50" t="n"/>
      <c r="E11" s="50" t="n"/>
      <c r="F11" s="50" t="n"/>
      <c r="G11" s="51">
        <f>SUM(G5:G10)</f>
        <v/>
      </c>
      <c r="H11" s="50" t="n"/>
      <c r="I11" s="50" t="n"/>
      <c r="J11" s="50" t="n"/>
      <c r="K11" s="50" t="n"/>
      <c r="L11" s="50" t="n"/>
      <c r="M11" s="50" t="n"/>
      <c r="N11" s="50" t="n"/>
      <c r="O11" s="50" t="n"/>
    </row>
    <row r="12" s="32"/>
    <row r="13" s="32"/>
    <row r="14" s="32"/>
    <row r="15" s="32"/>
    <row r="16" s="32"/>
    <row r="17" s="32"/>
    <row r="18" s="32"/>
    <row r="19" s="32"/>
    <row r="20" s="32"/>
    <row r="21" s="32"/>
    <row r="22" s="32"/>
    <row r="23" s="32"/>
    <row r="24" s="32"/>
    <row r="25" s="32"/>
  </sheetData>
  <conditionalFormatting sqref="K5:K10">
    <cfRule type="cellIs" priority="1" operator="equal" dxfId="0">
      <formula>"NEW"</formula>
    </cfRule>
    <cfRule type="cellIs" priority="2" operator="equal" dxfId="1">
      <formula>"PENDING"</formula>
    </cfRule>
    <cfRule type="cellIs" priority="3" operator="equal" dxfId="2">
      <formula>"ACTIVE"</formula>
    </cfRule>
    <cfRule type="cellIs" priority="4" operator="equal" dxfId="3">
      <formula>"DONE"</formula>
    </cfRule>
  </conditionalFormatting>
  <dataValidations count="2">
    <dataValidation sqref="K5:K10" showDropDown="0" showInputMessage="0" showErrorMessage="0" allowBlank="1" type="list">
      <formula1>"NEW,PENDING,ACTIVE,DONE"</formula1>
    </dataValidation>
    <dataValidation sqref="L5:L10" showDropDown="0" showInputMessage="0" showErrorMessage="0" allowBlank="1" type="decimal"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31" min="1" max="1"/>
    <col width="17" customWidth="1" style="31" min="2" max="8"/>
  </cols>
  <sheetData>
    <row r="1" ht="17.25" customHeight="1" s="32">
      <c r="A1" s="33" t="inlineStr">
        <is>
          <t>Resumen de avance</t>
        </is>
      </c>
    </row>
    <row r="2" ht="15" customHeight="1" s="32">
      <c r="A2" s="34" t="inlineStr">
        <is>
          <t>Calculado con formulas sobre las hojas Historias (MVP) y Backlog. Cambia un Estado alli y este resumen se actualiza.</t>
        </is>
      </c>
    </row>
    <row r="4" ht="15" customHeight="1" s="32">
      <c r="A4" s="35" t="inlineStr">
        <is>
          <t>Historias por sprint y estado</t>
        </is>
      </c>
    </row>
    <row r="5" ht="23.25" customHeight="1" s="32">
      <c r="A5" s="44" t="inlineStr">
        <is>
          <t>Sprint</t>
        </is>
      </c>
      <c r="B5" s="44" t="inlineStr">
        <is>
          <t>NEW</t>
        </is>
      </c>
      <c r="C5" s="44" t="inlineStr">
        <is>
          <t>PENDING</t>
        </is>
      </c>
      <c r="D5" s="44" t="inlineStr">
        <is>
          <t>ACTIVE</t>
        </is>
      </c>
      <c r="E5" s="44" t="inlineStr">
        <is>
          <t>DONE</t>
        </is>
      </c>
      <c r="F5" s="44" t="inlineStr">
        <is>
          <t>Total historias</t>
        </is>
      </c>
      <c r="G5" s="44" t="inlineStr">
        <is>
          <t>Puntos totales</t>
        </is>
      </c>
      <c r="H5" s="44" t="inlineStr">
        <is>
          <t>Puntos computables</t>
        </is>
      </c>
    </row>
    <row r="6" ht="15" customHeight="1" s="32">
      <c r="A6" s="52" t="inlineStr">
        <is>
          <t>Sprint 1</t>
        </is>
      </c>
      <c r="B6" s="46">
        <f>COUNTIFS(Historias!$B$5:$B$18,1,Historias!$K$5:$K$18,"NEW")</f>
        <v/>
      </c>
      <c r="C6" s="46">
        <f>COUNTIFS(Historias!$B$5:$B$18,1,Historias!$K$5:$K$18,"PENDING")</f>
        <v/>
      </c>
      <c r="D6" s="46">
        <f>COUNTIFS(Historias!$B$5:$B$18,1,Historias!$K$5:$K$18,"ACTIVE")</f>
        <v/>
      </c>
      <c r="E6" s="46">
        <f>COUNTIFS(Historias!$B$5:$B$18,1,Historias!$K$5:$K$18,"DONE")</f>
        <v/>
      </c>
      <c r="F6" s="46">
        <f>COUNTIFS(Historias!$B$5:$B$18,1)</f>
        <v/>
      </c>
      <c r="G6" s="46">
        <f>SUMIFS(Historias!$G$5:$G$18,Historias!$B$5:$B$18,1)</f>
        <v/>
      </c>
      <c r="H6" s="46">
        <f>SUMIFS(Historias!$G$5:$G$18,Historias!$B$5:$B$18,1)-SUMIFS(Historias!$G$5:$G$18,Historias!$B$5:$B$18,1,Historias!$K$5:$K$18,"PENDING")</f>
        <v/>
      </c>
    </row>
    <row r="7" ht="15" customHeight="1" s="32">
      <c r="A7" s="52" t="inlineStr">
        <is>
          <t>Sprint 2</t>
        </is>
      </c>
      <c r="B7" s="46">
        <f>COUNTIFS(Historias!$B$5:$B$18,2,Historias!$K$5:$K$18,"NEW")</f>
        <v/>
      </c>
      <c r="C7" s="46">
        <f>COUNTIFS(Historias!$B$5:$B$18,2,Historias!$K$5:$K$18,"PENDING")</f>
        <v/>
      </c>
      <c r="D7" s="46">
        <f>COUNTIFS(Historias!$B$5:$B$18,2,Historias!$K$5:$K$18,"ACTIVE")</f>
        <v/>
      </c>
      <c r="E7" s="46">
        <f>COUNTIFS(Historias!$B$5:$B$18,2,Historias!$K$5:$K$18,"DONE")</f>
        <v/>
      </c>
      <c r="F7" s="46">
        <f>COUNTIFS(Historias!$B$5:$B$18,2)</f>
        <v/>
      </c>
      <c r="G7" s="46">
        <f>SUMIFS(Historias!$G$5:$G$18,Historias!$B$5:$B$18,2)</f>
        <v/>
      </c>
      <c r="H7" s="46">
        <f>SUMIFS(Historias!$G$5:$G$18,Historias!$B$5:$B$18,2)-SUMIFS(Historias!$G$5:$G$18,Historias!$B$5:$B$18,2,Historias!$K$5:$K$18,"PENDING")</f>
        <v/>
      </c>
    </row>
    <row r="8" ht="15" customHeight="1" s="32">
      <c r="A8" s="52" t="inlineStr">
        <is>
          <t>Sprint 3</t>
        </is>
      </c>
      <c r="B8" s="46">
        <f>COUNTIFS(Historias!$B$5:$B$18,3,Historias!$K$5:$K$18,"NEW")</f>
        <v/>
      </c>
      <c r="C8" s="46">
        <f>COUNTIFS(Historias!$B$5:$B$18,3,Historias!$K$5:$K$18,"PENDING")</f>
        <v/>
      </c>
      <c r="D8" s="46">
        <f>COUNTIFS(Historias!$B$5:$B$18,3,Historias!$K$5:$K$18,"ACTIVE")</f>
        <v/>
      </c>
      <c r="E8" s="46">
        <f>COUNTIFS(Historias!$B$5:$B$18,3,Historias!$K$5:$K$18,"DONE")</f>
        <v/>
      </c>
      <c r="F8" s="46">
        <f>COUNTIFS(Historias!$B$5:$B$18,3)</f>
        <v/>
      </c>
      <c r="G8" s="46">
        <f>SUMIFS(Historias!$G$5:$G$18,Historias!$B$5:$B$18,3)</f>
        <v/>
      </c>
      <c r="H8" s="46">
        <f>SUMIFS(Historias!$G$5:$G$18,Historias!$B$5:$B$18,3)-SUMIFS(Historias!$G$5:$G$18,Historias!$B$5:$B$18,3,Historias!$K$5:$K$18,"PENDING")</f>
        <v/>
      </c>
    </row>
    <row r="9" ht="15" customHeight="1" s="32">
      <c r="A9" s="52" t="inlineStr">
        <is>
          <t>Sprint 4</t>
        </is>
      </c>
      <c r="B9" s="46">
        <f>COUNTIFS(Historias!$B$5:$B$18,4,Historias!$K$5:$K$18,"NEW")</f>
        <v/>
      </c>
      <c r="C9" s="46">
        <f>COUNTIFS(Historias!$B$5:$B$18,4,Historias!$K$5:$K$18,"PENDING")</f>
        <v/>
      </c>
      <c r="D9" s="46">
        <f>COUNTIFS(Historias!$B$5:$B$18,4,Historias!$K$5:$K$18,"ACTIVE")</f>
        <v/>
      </c>
      <c r="E9" s="46">
        <f>COUNTIFS(Historias!$B$5:$B$18,4,Historias!$K$5:$K$18,"DONE")</f>
        <v/>
      </c>
      <c r="F9" s="46">
        <f>COUNTIFS(Historias!$B$5:$B$18,4)</f>
        <v/>
      </c>
      <c r="G9" s="46">
        <f>SUMIFS(Historias!$G$5:$G$18,Historias!$B$5:$B$18,4)</f>
        <v/>
      </c>
      <c r="H9" s="46">
        <f>SUMIFS(Historias!$G$5:$G$18,Historias!$B$5:$B$18,4)-SUMIFS(Historias!$G$5:$G$18,Historias!$B$5:$B$18,4,Historias!$K$5:$K$18,"PENDING")</f>
        <v/>
      </c>
    </row>
    <row r="10" ht="15" customHeight="1" s="32">
      <c r="A10" s="52" t="inlineStr">
        <is>
          <t>Sprint 5</t>
        </is>
      </c>
      <c r="B10" s="46">
        <f>COUNTIFS(Historias!$B$5:$B$18,5,Historias!$K$5:$K$18,"NEW")</f>
        <v/>
      </c>
      <c r="C10" s="46">
        <f>COUNTIFS(Historias!$B$5:$B$18,5,Historias!$K$5:$K$18,"PENDING")</f>
        <v/>
      </c>
      <c r="D10" s="46">
        <f>COUNTIFS(Historias!$B$5:$B$18,5,Historias!$K$5:$K$18,"ACTIVE")</f>
        <v/>
      </c>
      <c r="E10" s="46">
        <f>COUNTIFS(Historias!$B$5:$B$18,5,Historias!$K$5:$K$18,"DONE")</f>
        <v/>
      </c>
      <c r="F10" s="46">
        <f>COUNTIFS(Historias!$B$5:$B$18,5)</f>
        <v/>
      </c>
      <c r="G10" s="46">
        <f>SUMIFS(Historias!$G$5:$G$18,Historias!$B$5:$B$18,5)</f>
        <v/>
      </c>
      <c r="H10" s="46">
        <f>SUMIFS(Historias!$G$5:$G$18,Historias!$B$5:$B$18,5)-SUMIFS(Historias!$G$5:$G$18,Historias!$B$5:$B$18,5,Historias!$K$5:$K$18,"PENDING")</f>
        <v/>
      </c>
    </row>
    <row r="11" ht="15" customHeight="1" s="32">
      <c r="A11" s="49" t="inlineStr">
        <is>
          <t>TOTAL</t>
        </is>
      </c>
      <c r="B11" s="51">
        <f>SUM(B6:B10)</f>
        <v/>
      </c>
      <c r="C11" s="51">
        <f>SUM(C6:C10)</f>
        <v/>
      </c>
      <c r="D11" s="51">
        <f>SUM(D6:D10)</f>
        <v/>
      </c>
      <c r="E11" s="51">
        <f>SUM(E6:E10)</f>
        <v/>
      </c>
      <c r="F11" s="51">
        <f>SUM(F6:F10)</f>
        <v/>
      </c>
      <c r="G11" s="51">
        <f>SUM(G6:G10)</f>
        <v/>
      </c>
      <c r="H11" s="51">
        <f>SUM(H6:H10)</f>
        <v/>
      </c>
    </row>
    <row r="13" ht="15" customHeight="1" s="32">
      <c r="A13" s="35" t="inlineStr">
        <is>
          <t>Puntos por estado</t>
        </is>
      </c>
    </row>
    <row r="14" ht="15" customHeight="1" s="32">
      <c r="A14" s="44" t="inlineStr">
        <is>
          <t>Estado</t>
        </is>
      </c>
      <c r="B14" s="44" t="inlineStr">
        <is>
          <t>Historias</t>
        </is>
      </c>
      <c r="C14" s="44" t="inlineStr">
        <is>
          <t>Puntos</t>
        </is>
      </c>
      <c r="D14" s="44" t="inlineStr">
        <is>
          <t>% de los 51 pts</t>
        </is>
      </c>
    </row>
    <row r="15" ht="15" customHeight="1" s="32">
      <c r="A15" s="53" t="inlineStr">
        <is>
          <t>NEW</t>
        </is>
      </c>
      <c r="B15" s="46">
        <f>COUNTIF(Historias!$K$5:$K$18,"NEW")</f>
        <v/>
      </c>
      <c r="C15" s="46">
        <f>SUMIF(Historias!$K$5:$K$18,"NEW",Historias!$G$5:$G$18)</f>
        <v/>
      </c>
      <c r="D15" s="54">
        <f>IFERROR(C15/$C$19,0)</f>
        <v/>
      </c>
    </row>
    <row r="16" ht="15" customHeight="1" s="32">
      <c r="A16" s="55" t="inlineStr">
        <is>
          <t>PENDING</t>
        </is>
      </c>
      <c r="B16" s="46">
        <f>COUNTIF(Historias!$K$5:$K$18,"PENDING")</f>
        <v/>
      </c>
      <c r="C16" s="46">
        <f>SUMIF(Historias!$K$5:$K$18,"PENDING",Historias!$G$5:$G$18)</f>
        <v/>
      </c>
      <c r="D16" s="54">
        <f>IFERROR(C16/$C$19,0)</f>
        <v/>
      </c>
    </row>
    <row r="17" ht="15" customHeight="1" s="32">
      <c r="A17" s="56" t="inlineStr">
        <is>
          <t>ACTIVE</t>
        </is>
      </c>
      <c r="B17" s="46">
        <f>COUNTIF(Historias!$K$5:$K$18,"ACTIVE")</f>
        <v/>
      </c>
      <c r="C17" s="46">
        <f>SUMIF(Historias!$K$5:$K$18,"ACTIVE",Historias!$G$5:$G$18)</f>
        <v/>
      </c>
      <c r="D17" s="54">
        <f>IFERROR(C17/$C$19,0)</f>
        <v/>
      </c>
    </row>
    <row r="18" ht="15" customHeight="1" s="32">
      <c r="A18" s="57" t="inlineStr">
        <is>
          <t>DONE</t>
        </is>
      </c>
      <c r="B18" s="46">
        <f>COUNTIF(Historias!$K$5:$K$18,"DONE")</f>
        <v/>
      </c>
      <c r="C18" s="46">
        <f>SUMIF(Historias!$K$5:$K$18,"DONE",Historias!$G$5:$G$18)</f>
        <v/>
      </c>
      <c r="D18" s="54">
        <f>IFERROR(C18/$C$19,0)</f>
        <v/>
      </c>
    </row>
    <row r="19" ht="15" customHeight="1" s="32">
      <c r="A19" s="49" t="inlineStr">
        <is>
          <t>TOTAL</t>
        </is>
      </c>
      <c r="B19" s="51">
        <f>SUM(B15:B18)</f>
        <v/>
      </c>
      <c r="C19" s="51">
        <f>SUM(Historias!$G$5:$G$18)</f>
        <v/>
      </c>
      <c r="D19" s="58">
        <f>IFERROR(C19/C19,0)</f>
        <v/>
      </c>
    </row>
    <row r="21" ht="15" customHeight="1" s="32">
      <c r="A21" s="35" t="inlineStr">
        <is>
          <t>Sprint 1 en detalle</t>
        </is>
      </c>
    </row>
    <row r="22" ht="15" customHeight="1" s="32">
      <c r="A22" s="59" t="inlineStr">
        <is>
          <t>Historias planificadas en el Sprint 1</t>
        </is>
      </c>
      <c r="B22" s="60">
        <f>COUNTIFS(Historias!$B$5:$B$18,1)</f>
        <v/>
      </c>
    </row>
    <row r="23" ht="15" customHeight="1" s="32">
      <c r="A23" s="59" t="inlineStr">
        <is>
          <t>Historias computables (no PENDING)</t>
        </is>
      </c>
      <c r="B23" s="60">
        <f>COUNTIFS(Historias!$B$5:$B$18,1)-COUNTIFS(Historias!$B$5:$B$18,1,Historias!$K$5:$K$18,"PENDING")</f>
        <v/>
      </c>
    </row>
    <row r="24" ht="15" customHeight="1" s="32">
      <c r="A24" s="59" t="inlineStr">
        <is>
          <t>Puntos planificados</t>
        </is>
      </c>
      <c r="B24" s="60">
        <f>SUMIFS(Historias!$G$5:$G$18,Historias!$B$5:$B$18,1)</f>
        <v/>
      </c>
    </row>
    <row r="25" ht="15" customHeight="1" s="32">
      <c r="A25" s="59" t="inlineStr">
        <is>
          <t>Puntos computables</t>
        </is>
      </c>
      <c r="B25" s="60">
        <f>SUMIFS(Historias!$G$5:$G$18,Historias!$B$5:$B$18,1)-SUMIFS(Historias!$G$5:$G$18,Historias!$B$5:$B$18,1,Historias!$K$5:$K$18,"PENDING")</f>
        <v/>
      </c>
    </row>
    <row r="26" ht="15" customHeight="1" s="32">
      <c r="A26" s="59" t="inlineStr">
        <is>
          <t>Puntos excluidos por dependencia cruzada</t>
        </is>
      </c>
      <c r="B26" s="60">
        <f>SUMIFS(Historias!$G$5:$G$18,Historias!$B$5:$B$18,1,Historias!$K$5:$K$18,"PENDING")</f>
        <v/>
      </c>
    </row>
    <row r="27" ht="15" customHeight="1" s="32">
      <c r="A27" s="59" t="inlineStr">
        <is>
          <t>Velocidad estimada del equipo (pts/sprint)</t>
        </is>
      </c>
      <c r="B27" s="61" t="n">
        <v>15</v>
      </c>
      <c r="C27" s="34" t="inlineStr">
        <is>
          <t>Supuesto del documento, seccion 10. Editable.</t>
        </is>
      </c>
    </row>
    <row r="28" ht="15" customHeight="1" s="32">
      <c r="A28" s="59" t="inlineStr">
        <is>
          <t>Holgura del Sprint 1 (pts)</t>
        </is>
      </c>
      <c r="B28" s="60">
        <f>B27-B25</f>
        <v/>
      </c>
    </row>
    <row r="30">
      <c r="A30" s="35" t="inlineStr">
        <is>
          <t>Backlog post-MVP (hoja Backlog)</t>
        </is>
      </c>
    </row>
    <row r="31">
      <c r="A31" s="44" t="inlineStr">
        <is>
          <t>Estado</t>
        </is>
      </c>
      <c r="B31" s="44" t="inlineStr">
        <is>
          <t>Historias</t>
        </is>
      </c>
      <c r="C31" s="44" t="inlineStr">
        <is>
          <t>Puntos</t>
        </is>
      </c>
      <c r="D31" s="44" t="inlineStr">
        <is>
          <t>% de los 17 pts</t>
        </is>
      </c>
    </row>
    <row r="32">
      <c r="A32" s="53" t="inlineStr">
        <is>
          <t>NEW</t>
        </is>
      </c>
      <c r="B32" s="46">
        <f>COUNTIF(Backlog!$K$5:$K$10,"NEW")</f>
        <v/>
      </c>
      <c r="C32" s="46">
        <f>SUMIF(Backlog!$K$5:$K$10,"NEW",Backlog!$G$5:$G$10)</f>
        <v/>
      </c>
      <c r="D32" s="54">
        <f>IFERROR(C32/$C$36,0)</f>
        <v/>
      </c>
    </row>
    <row r="33">
      <c r="A33" s="55" t="inlineStr">
        <is>
          <t>PENDING</t>
        </is>
      </c>
      <c r="B33" s="46">
        <f>COUNTIF(Backlog!$K$5:$K$10,"PENDING")</f>
        <v/>
      </c>
      <c r="C33" s="46">
        <f>SUMIF(Backlog!$K$5:$K$10,"PENDING",Backlog!$G$5:$G$10)</f>
        <v/>
      </c>
      <c r="D33" s="54">
        <f>IFERROR(C33/$C$36,0)</f>
        <v/>
      </c>
    </row>
    <row r="34">
      <c r="A34" s="56" t="inlineStr">
        <is>
          <t>ACTIVE</t>
        </is>
      </c>
      <c r="B34" s="46">
        <f>COUNTIF(Backlog!$K$5:$K$10,"ACTIVE")</f>
        <v/>
      </c>
      <c r="C34" s="46">
        <f>SUMIF(Backlog!$K$5:$K$10,"ACTIVE",Backlog!$G$5:$G$10)</f>
        <v/>
      </c>
      <c r="D34" s="54">
        <f>IFERROR(C34/$C$36,0)</f>
        <v/>
      </c>
    </row>
    <row r="35">
      <c r="A35" s="57" t="inlineStr">
        <is>
          <t>DONE</t>
        </is>
      </c>
      <c r="B35" s="46">
        <f>COUNTIF(Backlog!$K$5:$K$10,"DONE")</f>
        <v/>
      </c>
      <c r="C35" s="46">
        <f>SUMIF(Backlog!$K$5:$K$10,"DONE",Backlog!$G$5:$G$10)</f>
        <v/>
      </c>
      <c r="D35" s="54">
        <f>IFERROR(C35/$C$36,0)</f>
        <v/>
      </c>
    </row>
    <row r="36">
      <c r="A36" s="49" t="inlineStr">
        <is>
          <t>TOTAL</t>
        </is>
      </c>
      <c r="B36" s="51">
        <f>SUM(B32:B35)</f>
        <v/>
      </c>
      <c r="C36" s="51">
        <f>SUM(Backlog!$G$5:$G$10)</f>
        <v/>
      </c>
      <c r="D36" s="58">
        <f>IFERROR(C36/C36,0)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1" min="1" max="1"/>
    <col width="26" customWidth="1" style="31" min="2" max="2"/>
    <col width="30" customWidth="1" style="31" min="3" max="3"/>
    <col width="20" customWidth="1" style="31" min="4" max="4"/>
    <col width="16" customWidth="1" style="31" min="5" max="5"/>
    <col width="14" customWidth="1" style="31" min="6" max="6"/>
    <col width="44" customWidth="1" style="31" min="7" max="7"/>
    <col width="56" customWidth="1" style="31" min="8" max="8"/>
  </cols>
  <sheetData>
    <row r="1" ht="17.25" customHeight="1" s="32">
      <c r="A1" s="33" t="inlineStr">
        <is>
          <t>Verificacion de tecnologias para iniciar el Sprint 1</t>
        </is>
      </c>
    </row>
    <row r="2" ht="15" customHeight="1" s="32">
      <c r="A2" s="34" t="inlineStr">
        <is>
          <t>Alcance evaluado: HU-01, HU-02, HU-04 y HU-14. HU-17 queda fuera por estar en PENDING (depende de HU-03, Sprint 2), por lo que Celery, Redis y Flower salen de la ruta critica del Sprint 1.</t>
        </is>
      </c>
    </row>
    <row r="4" ht="15" customHeight="1" s="32">
      <c r="A4" s="44" t="inlineStr">
        <is>
          <t>Historia</t>
        </is>
      </c>
      <c r="B4" s="44" t="inlineStr">
        <is>
          <t>Necesidad</t>
        </is>
      </c>
      <c r="C4" s="44" t="inlineStr">
        <is>
          <t>Tecnologia</t>
        </is>
      </c>
      <c r="D4" s="44" t="inlineStr">
        <is>
          <t>Tipo</t>
        </is>
      </c>
      <c r="E4" s="44" t="inlineStr">
        <is>
          <t>En el documento</t>
        </is>
      </c>
      <c r="F4" s="44" t="inlineStr">
        <is>
          <t>Criticidad</t>
        </is>
      </c>
      <c r="G4" s="44" t="inlineStr">
        <is>
          <t>Como se instala</t>
        </is>
      </c>
      <c r="H4" s="44" t="inlineStr">
        <is>
          <t>Por que hace falta</t>
        </is>
      </c>
    </row>
    <row r="5" ht="45.75" customHeight="1" s="32">
      <c r="A5" s="46" t="inlineStr">
        <is>
          <t>Transversal</t>
        </is>
      </c>
      <c r="B5" s="47" t="inlineStr">
        <is>
          <t>Servidor ASGI</t>
        </is>
      </c>
      <c r="C5" s="47" t="inlineStr">
        <is>
          <t>uvicorn[standard]</t>
        </is>
      </c>
      <c r="D5" s="46" t="inlineStr">
        <is>
          <t>Paquete Python</t>
        </is>
      </c>
      <c r="E5" s="46" t="inlineStr">
        <is>
          <t>No</t>
        </is>
      </c>
      <c r="F5" s="46" t="inlineStr">
        <is>
          <t>Bloqueante</t>
        </is>
      </c>
      <c r="G5" s="47" t="inlineStr">
        <is>
          <t>pip install 'uvicorn[standard]'</t>
        </is>
      </c>
      <c r="H5" s="47" t="inlineStr">
        <is>
          <t>FastAPI es un framework, no un servidor. El documento nombra FastAPI en 6.3 pero nunca el ASGI server, sin el la API no arranca.</t>
        </is>
      </c>
    </row>
    <row r="6" ht="45.75" customHeight="1" s="32">
      <c r="A6" s="46" t="inlineStr">
        <is>
          <t>Transversal</t>
        </is>
      </c>
      <c r="B6" s="47" t="inlineStr">
        <is>
          <t>Driver MySQL 8</t>
        </is>
      </c>
      <c r="C6" s="47" t="inlineStr">
        <is>
          <t>cryptography</t>
        </is>
      </c>
      <c r="D6" s="46" t="inlineStr">
        <is>
          <t>Paquete Python</t>
        </is>
      </c>
      <c r="E6" s="46" t="inlineStr">
        <is>
          <t>No</t>
        </is>
      </c>
      <c r="F6" s="46" t="inlineStr">
        <is>
          <t>Bloqueante</t>
        </is>
      </c>
      <c r="G6" s="47" t="inlineStr">
        <is>
          <t>pip install cryptography</t>
        </is>
      </c>
      <c r="H6" s="47" t="inlineStr">
        <is>
          <t>MySQL 8 usa caching_sha2_password por defecto. Sin este paquete PyMySQL falla en el primer connect contra el contenedor.</t>
        </is>
      </c>
    </row>
    <row r="7" ht="45.75" customHeight="1" s="32">
      <c r="A7" s="46" t="inlineStr">
        <is>
          <t>Transversal</t>
        </is>
      </c>
      <c r="B7" s="47" t="inlineStr">
        <is>
          <t>Base de datos</t>
        </is>
      </c>
      <c r="C7" s="47" t="inlineStr">
        <is>
          <t>mysql:8.4 (contenedor)</t>
        </is>
      </c>
      <c r="D7" s="46" t="inlineStr">
        <is>
          <t>Contenedor Docker</t>
        </is>
      </c>
      <c r="E7" s="46" t="inlineStr">
        <is>
          <t>Si</t>
        </is>
      </c>
      <c r="F7" s="46" t="inlineStr">
        <is>
          <t>Bloqueante</t>
        </is>
      </c>
      <c r="G7" s="47" t="inlineStr">
        <is>
          <t>docker compose: image mysql:8.4, --character-set-server=utf8mb4</t>
        </is>
      </c>
      <c r="H7" s="47" t="inlineStr">
        <is>
          <t>Confirmado por el usuario: la base de datos corre en Docker. Charset utf8mb4 y DATETIME(6) segun seccion 6.5.</t>
        </is>
      </c>
    </row>
    <row r="8" ht="45.75" customHeight="1" s="32">
      <c r="A8" s="46" t="inlineStr">
        <is>
          <t>Transversal</t>
        </is>
      </c>
      <c r="B8" s="47" t="inlineStr">
        <is>
          <t>Entorno de contenedores</t>
        </is>
      </c>
      <c r="C8" s="47" t="inlineStr">
        <is>
          <t>Docker Desktop + WSL2</t>
        </is>
      </c>
      <c r="D8" s="46" t="inlineStr">
        <is>
          <t>Infraestructura</t>
        </is>
      </c>
      <c r="E8" s="46" t="inlineStr">
        <is>
          <t>Parcial</t>
        </is>
      </c>
      <c r="F8" s="46" t="inlineStr">
        <is>
          <t>Bloqueante</t>
        </is>
      </c>
      <c r="G8" s="47" t="inlineStr">
        <is>
          <t>Instalacion en la maquina de desarrollo Windows</t>
        </is>
      </c>
      <c r="H8" s="47" t="inlineStr">
        <is>
          <t>El documento menciona Docker Compose en 6.7 pero no el runtime en el equipo de desarrollo.</t>
        </is>
      </c>
    </row>
    <row r="9" ht="45.75" customHeight="1" s="32">
      <c r="A9" s="46" t="inlineStr">
        <is>
          <t>Transversal</t>
        </is>
      </c>
      <c r="B9" s="47" t="inlineStr">
        <is>
          <t>Configuracion y secretos</t>
        </is>
      </c>
      <c r="C9" s="47" t="inlineStr">
        <is>
          <t>pydantic-settings, python-dotenv</t>
        </is>
      </c>
      <c r="D9" s="46" t="inlineStr">
        <is>
          <t>Paquete Python</t>
        </is>
      </c>
      <c r="E9" s="46" t="inlineStr">
        <is>
          <t>No</t>
        </is>
      </c>
      <c r="F9" s="46" t="inlineStr">
        <is>
          <t>Bloqueante</t>
        </is>
      </c>
      <c r="G9" s="47" t="inlineStr">
        <is>
          <t>pip install pydantic-settings python-dotenv</t>
        </is>
      </c>
      <c r="H9" s="47" t="inlineStr">
        <is>
          <t>La seccion 8 exige que las claves vivan en variables de entorno o secretos de Docker, pero no asigna ninguna tecnologia.</t>
        </is>
      </c>
    </row>
    <row r="10" ht="45.75" customHeight="1" s="32">
      <c r="A10" s="46" t="inlineStr">
        <is>
          <t>Transversal</t>
        </is>
      </c>
      <c r="B10" s="47" t="inlineStr">
        <is>
          <t>Migraciones</t>
        </is>
      </c>
      <c r="C10" s="47" t="inlineStr">
        <is>
          <t>alembic</t>
        </is>
      </c>
      <c r="D10" s="46" t="inlineStr">
        <is>
          <t>Paquete Python</t>
        </is>
      </c>
      <c r="E10" s="46" t="inlineStr">
        <is>
          <t>Si</t>
        </is>
      </c>
      <c r="F10" s="46" t="inlineStr">
        <is>
          <t>Necesaria</t>
        </is>
      </c>
      <c r="G10" s="47" t="inlineStr">
        <is>
          <t>pip install alembic &amp;&amp; alembic init</t>
        </is>
      </c>
      <c r="H10" s="47" t="inlineStr">
        <is>
          <t>Ya declarado en 6.3. Configurar utf8mb4 y DATETIME(6) en el template de migracion.</t>
        </is>
      </c>
    </row>
    <row r="11" ht="45.75" customHeight="1" s="32">
      <c r="A11" s="46" t="inlineStr">
        <is>
          <t>Transversal</t>
        </is>
      </c>
      <c r="B11" s="47" t="inlineStr">
        <is>
          <t>Logging estructurado</t>
        </is>
      </c>
      <c r="C11" s="47" t="inlineStr">
        <is>
          <t>structlog</t>
        </is>
      </c>
      <c r="D11" s="46" t="inlineStr">
        <is>
          <t>Paquete Python</t>
        </is>
      </c>
      <c r="E11" s="46" t="inlineStr">
        <is>
          <t>No</t>
        </is>
      </c>
      <c r="F11" s="46" t="inlineStr">
        <is>
          <t>Necesaria</t>
        </is>
      </c>
      <c r="G11" s="47" t="inlineStr">
        <is>
          <t>pip install structlog</t>
        </is>
      </c>
      <c r="H11" s="47" t="inlineStr">
        <is>
          <t>El documento no define ninguna tecnologia de observabilidad pese a que RNF-03 exige 99% de disponibilidad.</t>
        </is>
      </c>
    </row>
    <row r="12" ht="45.75" customHeight="1" s="32">
      <c r="A12" s="46" t="inlineStr">
        <is>
          <t>Transversal</t>
        </is>
      </c>
      <c r="B12" s="47" t="inlineStr">
        <is>
          <t>Pruebas</t>
        </is>
      </c>
      <c r="C12" s="47" t="inlineStr">
        <is>
          <t>pytest-asyncio, pytest-cov</t>
        </is>
      </c>
      <c r="D12" s="46" t="inlineStr">
        <is>
          <t>Paquete Python</t>
        </is>
      </c>
      <c r="E12" s="46" t="inlineStr">
        <is>
          <t>No</t>
        </is>
      </c>
      <c r="F12" s="46" t="inlineStr">
        <is>
          <t>Necesaria</t>
        </is>
      </c>
      <c r="G12" s="47" t="inlineStr">
        <is>
          <t>pip install pytest-asyncio pytest-cov</t>
        </is>
      </c>
      <c r="H12" s="47" t="inlineStr">
        <is>
          <t>RNF-05 exige 70% de cobertura sobre endpoints async. El documento solo nombra pytest.</t>
        </is>
      </c>
    </row>
    <row r="13" ht="45.75" customHeight="1" s="32">
      <c r="A13" s="46" t="inlineStr">
        <is>
          <t>Transversal</t>
        </is>
      </c>
      <c r="B13" s="47" t="inlineStr">
        <is>
          <t>Sincronizacion horaria</t>
        </is>
      </c>
      <c r="C13" s="47" t="inlineStr">
        <is>
          <t>NTP en servidor, bascula y camaras</t>
        </is>
      </c>
      <c r="D13" s="46" t="inlineStr">
        <is>
          <t>Infraestructura</t>
        </is>
      </c>
      <c r="E13" s="46" t="inlineStr">
        <is>
          <t>No</t>
        </is>
      </c>
      <c r="F13" s="46" t="inlineStr">
        <is>
          <t>Necesaria</t>
        </is>
      </c>
      <c r="G13" s="47" t="inlineStr">
        <is>
          <t>Configurar NTP en el servidor de planta</t>
        </is>
      </c>
      <c r="H13" s="47" t="inlineStr">
        <is>
          <t>El modelo de datos usa DATETIME(6) para correlacionar pesada y video. Sin relojes sincronizados esa precision no sirve. No aparece en el documento.</t>
        </is>
      </c>
    </row>
    <row r="14" ht="45.75" customHeight="1" s="32">
      <c r="A14" s="46" t="inlineStr">
        <is>
          <t>HU-01</t>
        </is>
      </c>
      <c r="B14" s="47" t="inlineStr">
        <is>
          <t>Lectura de bascula</t>
        </is>
      </c>
      <c r="C14" s="47" t="inlineStr">
        <is>
          <t>pymodbus[serial]</t>
        </is>
      </c>
      <c r="D14" s="46" t="inlineStr">
        <is>
          <t>Paquete Python</t>
        </is>
      </c>
      <c r="E14" s="46" t="inlineStr">
        <is>
          <t>Parcial</t>
        </is>
      </c>
      <c r="F14" s="46" t="inlineStr">
        <is>
          <t>Bloqueante</t>
        </is>
      </c>
      <c r="G14" s="47" t="inlineStr">
        <is>
          <t>pip install 'pymodbus[serial]'</t>
        </is>
      </c>
      <c r="H14" s="47" t="inlineStr">
        <is>
          <t>El documento dice pymodbus o pyserial. El extra [serial] es el que habilita RS-232 y trae pyserial.</t>
        </is>
      </c>
    </row>
    <row r="15" ht="45.75" customHeight="1" s="32">
      <c r="A15" s="46" t="inlineStr">
        <is>
          <t>HU-01</t>
        </is>
      </c>
      <c r="B15" s="47" t="inlineStr">
        <is>
          <t>Simulador de bascula</t>
        </is>
      </c>
      <c r="C15" s="47" t="inlineStr">
        <is>
          <t>pymodbus.server</t>
        </is>
      </c>
      <c r="D15" s="46" t="inlineStr">
        <is>
          <t>Paquete Python</t>
        </is>
      </c>
      <c r="E15" s="46" t="inlineStr">
        <is>
          <t>No</t>
        </is>
      </c>
      <c r="F15" s="46" t="inlineStr">
        <is>
          <t>Bloqueante</t>
        </is>
      </c>
      <c r="G15" s="47" t="inlineStr">
        <is>
          <t>Incluido en pymodbus; contenedor scale-sim en el compose</t>
        </is>
      </c>
      <c r="H15" s="47" t="inlineStr">
        <is>
          <t>Decision acordada: sin bascula fisica en el Sprint 1, HU-01 no es desarrollable sin un servidor Modbus simulado.</t>
        </is>
      </c>
    </row>
    <row r="16" ht="45.75" customHeight="1" s="32">
      <c r="A16" s="46" t="inlineStr">
        <is>
          <t>HU-01</t>
        </is>
      </c>
      <c r="B16" s="47" t="inlineStr">
        <is>
          <t>Timeout y reintentos</t>
        </is>
      </c>
      <c r="C16" s="47" t="inlineStr">
        <is>
          <t>tenacity</t>
        </is>
      </c>
      <c r="D16" s="46" t="inlineStr">
        <is>
          <t>Paquete Python</t>
        </is>
      </c>
      <c r="E16" s="46" t="inlineStr">
        <is>
          <t>No</t>
        </is>
      </c>
      <c r="F16" s="46" t="inlineStr">
        <is>
          <t>Necesaria</t>
        </is>
      </c>
      <c r="G16" s="47" t="inlineStr">
        <is>
          <t>pip install tenacity</t>
        </is>
      </c>
      <c r="H16" s="47" t="inlineStr">
        <is>
          <t>El criterio 2 exige detectar que la bascula no responde en 5 s. El documento no asigna libreria de reintentos.</t>
        </is>
      </c>
    </row>
    <row r="17" ht="45.75" customHeight="1" s="32">
      <c r="A17" s="46" t="inlineStr">
        <is>
          <t>HU-02</t>
        </is>
      </c>
      <c r="B17" s="47" t="inlineStr">
        <is>
          <t>Cliente HTTP del ERP</t>
        </is>
      </c>
      <c r="C17" s="47" t="inlineStr">
        <is>
          <t>httpx</t>
        </is>
      </c>
      <c r="D17" s="46" t="inlineStr">
        <is>
          <t>Paquete Python</t>
        </is>
      </c>
      <c r="E17" s="46" t="inlineStr">
        <is>
          <t>Si</t>
        </is>
      </c>
      <c r="F17" s="46" t="inlineStr">
        <is>
          <t>Bloqueante</t>
        </is>
      </c>
      <c r="G17" s="47" t="inlineStr">
        <is>
          <t>pip install httpx</t>
        </is>
      </c>
      <c r="H17" s="47" t="inlineStr">
        <is>
          <t>Ya declarado en 6.3 para la integracion con ERP/WMS.</t>
        </is>
      </c>
    </row>
    <row r="18" ht="45.75" customHeight="1" s="32">
      <c r="A18" s="46" t="inlineStr">
        <is>
          <t>HU-02</t>
        </is>
      </c>
      <c r="B18" s="47" t="inlineStr">
        <is>
          <t>Stub del ERP</t>
        </is>
      </c>
      <c r="C18" s="47" t="inlineStr">
        <is>
          <t>erp-mock (FastAPI)</t>
        </is>
      </c>
      <c r="D18" s="46" t="inlineStr">
        <is>
          <t>Contenedor Docker</t>
        </is>
      </c>
      <c r="E18" s="46" t="inlineStr">
        <is>
          <t>No</t>
        </is>
      </c>
      <c r="F18" s="46" t="inlineStr">
        <is>
          <t>Bloqueante</t>
        </is>
      </c>
      <c r="G18" s="47" t="inlineStr">
        <is>
          <t>Servicio propio en el compose que sirve GET /ordenes/{numero}</t>
        </is>
      </c>
      <c r="H18" s="47" t="inlineStr">
        <is>
          <t>Decision acordada: sin ERP real en el Sprint 1, HU-02 no es desarrollable sin un stub que devuelva peso y sacos esperados.</t>
        </is>
      </c>
    </row>
    <row r="19" ht="45.75" customHeight="1" s="32">
      <c r="A19" s="46" t="inlineStr">
        <is>
          <t>HU-02</t>
        </is>
      </c>
      <c r="B19" s="47" t="inlineStr">
        <is>
          <t>Mock en pruebas</t>
        </is>
      </c>
      <c r="C19" s="47" t="inlineStr">
        <is>
          <t>respx</t>
        </is>
      </c>
      <c r="D19" s="46" t="inlineStr">
        <is>
          <t>Paquete Python</t>
        </is>
      </c>
      <c r="E19" s="46" t="inlineStr">
        <is>
          <t>No</t>
        </is>
      </c>
      <c r="F19" s="46" t="inlineStr">
        <is>
          <t>Necesaria</t>
        </is>
      </c>
      <c r="G19" s="47" t="inlineStr">
        <is>
          <t>pip install respx</t>
        </is>
      </c>
      <c r="H19" s="47" t="inlineStr">
        <is>
          <t>Permite probar el cliente httpx sin levantar el stub, necesario para la cobertura de RNF-05.</t>
        </is>
      </c>
    </row>
    <row r="20" ht="45.75" customHeight="1" s="32">
      <c r="A20" s="46" t="inlineStr">
        <is>
          <t>HU-02</t>
        </is>
      </c>
      <c r="B20" s="47" t="inlineStr">
        <is>
          <t>Cache de ordenes</t>
        </is>
      </c>
      <c r="C20" s="47" t="inlineStr">
        <is>
          <t>Tabla orden_despacho en MySQL</t>
        </is>
      </c>
      <c r="D20" s="46" t="inlineStr">
        <is>
          <t>Modelo de datos</t>
        </is>
      </c>
      <c r="E20" s="46" t="inlineStr">
        <is>
          <t>Si</t>
        </is>
      </c>
      <c r="F20" s="46" t="inlineStr">
        <is>
          <t>Necesaria</t>
        </is>
      </c>
      <c r="G20" s="47" t="inlineStr">
        <is>
          <t>Migracion Alembic</t>
        </is>
      </c>
      <c r="H20" s="47" t="inlineStr">
        <is>
          <t>La seccion 6.6 pide cachear la orden. Con HU-17 en PENDING no hay Redis, asi que la cache va a la tabla local ya prevista en 6.5.</t>
        </is>
      </c>
    </row>
    <row r="21" ht="45.75" customHeight="1" s="32">
      <c r="A21" s="46" t="inlineStr">
        <is>
          <t>HU-04</t>
        </is>
      </c>
      <c r="B21" s="47" t="inlineStr">
        <is>
          <t>Pantalla de configuracion</t>
        </is>
      </c>
      <c r="C21" s="47" t="inlineStr">
        <is>
          <t>streamlit</t>
        </is>
      </c>
      <c r="D21" s="46" t="inlineStr">
        <is>
          <t>Paquete Python</t>
        </is>
      </c>
      <c r="E21" s="46" t="inlineStr">
        <is>
          <t>Si</t>
        </is>
      </c>
      <c r="F21" s="46" t="inlineStr">
        <is>
          <t>Bloqueante</t>
        </is>
      </c>
      <c r="G21" s="47" t="inlineStr">
        <is>
          <t>pip install streamlit</t>
        </is>
      </c>
      <c r="H21" s="47" t="inlineStr">
        <is>
          <t>Ya declarado en 6.3 como tecnologia del dashboard.</t>
        </is>
      </c>
    </row>
    <row r="22" ht="45.75" customHeight="1" s="32">
      <c r="A22" s="46" t="inlineStr">
        <is>
          <t>HU-04</t>
        </is>
      </c>
      <c r="B22" s="47" t="inlineStr">
        <is>
          <t>Tablas en el dashboard</t>
        </is>
      </c>
      <c r="C22" s="47" t="inlineStr">
        <is>
          <t>pandas</t>
        </is>
      </c>
      <c r="D22" s="46" t="inlineStr">
        <is>
          <t>Paquete Python</t>
        </is>
      </c>
      <c r="E22" s="46" t="inlineStr">
        <is>
          <t>No</t>
        </is>
      </c>
      <c r="F22" s="46" t="inlineStr">
        <is>
          <t>Bloqueante</t>
        </is>
      </c>
      <c r="G22" s="47" t="inlineStr">
        <is>
          <t>pip install pandas</t>
        </is>
      </c>
      <c r="H22" s="47" t="inlineStr">
        <is>
          <t>No aparece en ninguna parte del documento, pese a que st.dataframe lo requiere y HU-11, HU-15 y HU-20 dependen de el.</t>
        </is>
      </c>
    </row>
    <row r="23" ht="45.75" customHeight="1" s="32">
      <c r="A23" s="46" t="inlineStr">
        <is>
          <t>HU-14</t>
        </is>
      </c>
      <c r="B23" s="47" t="inlineStr">
        <is>
          <t>Hash de contrasenas</t>
        </is>
      </c>
      <c r="C23" s="47" t="inlineStr">
        <is>
          <t>passlib[bcrypt]</t>
        </is>
      </c>
      <c r="D23" s="46" t="inlineStr">
        <is>
          <t>Paquete Python</t>
        </is>
      </c>
      <c r="E23" s="46" t="inlineStr">
        <is>
          <t>No</t>
        </is>
      </c>
      <c r="F23" s="46" t="inlineStr">
        <is>
          <t>Bloqueante</t>
        </is>
      </c>
      <c r="G23" s="47" t="inlineStr">
        <is>
          <t>pip install 'passlib[bcrypt]'</t>
        </is>
      </c>
      <c r="H23" s="47" t="inlineStr">
        <is>
          <t>El criterio 3 exige hash bcrypt pero el documento no nombra ninguna libreria de hashing.</t>
        </is>
      </c>
    </row>
    <row r="24" ht="45.75" customHeight="1" s="32">
      <c r="A24" s="46" t="inlineStr">
        <is>
          <t>HU-14</t>
        </is>
      </c>
      <c r="B24" s="47" t="inlineStr">
        <is>
          <t>Generacion de token</t>
        </is>
      </c>
      <c r="C24" s="47" t="inlineStr">
        <is>
          <t>secrets + hashlib</t>
        </is>
      </c>
      <c r="D24" s="46" t="inlineStr">
        <is>
          <t>Libreria estandar</t>
        </is>
      </c>
      <c r="E24" s="46" t="inlineStr">
        <is>
          <t>No</t>
        </is>
      </c>
      <c r="F24" s="46" t="inlineStr">
        <is>
          <t>Bloqueante</t>
        </is>
      </c>
      <c r="G24" s="47" t="inlineStr">
        <is>
          <t>Incluido en Python 3.11</t>
        </is>
      </c>
      <c r="H24" s="47" t="inlineStr">
        <is>
          <t>Token opaco con secrets.token_urlsafe(32); en base de datos solo se guarda su SHA-256, nunca el token en claro.</t>
        </is>
      </c>
    </row>
    <row r="25" ht="45.75" customHeight="1" s="32">
      <c r="A25" s="46" t="inlineStr">
        <is>
          <t>HU-14</t>
        </is>
      </c>
      <c r="B25" s="47" t="inlineStr">
        <is>
          <t>Tabla de tokens</t>
        </is>
      </c>
      <c r="C25" s="47" t="inlineStr">
        <is>
          <t>api_token</t>
        </is>
      </c>
      <c r="D25" s="46" t="inlineStr">
        <is>
          <t>Modelo de datos</t>
        </is>
      </c>
      <c r="E25" s="46" t="inlineStr">
        <is>
          <t>No</t>
        </is>
      </c>
      <c r="F25" s="46" t="inlineStr">
        <is>
          <t>Bloqueante</t>
        </is>
      </c>
      <c r="G25" s="47" t="inlineStr">
        <is>
          <t>Migracion Alembic</t>
        </is>
      </c>
      <c r="H25" s="47" t="inlineStr">
        <is>
          <t>Tabla nueva acordada: id, usuario_id, token_hash, nombre, creado_en, expira_en, ultimo_uso_en, revocado_en, revocado_por. No existe en la seccion 6.5.</t>
        </is>
      </c>
    </row>
    <row r="26" ht="45.75" customHeight="1" s="32">
      <c r="A26" s="46" t="inlineStr">
        <is>
          <t>HU-14</t>
        </is>
      </c>
      <c r="B26" s="47" t="inlineStr">
        <is>
          <t>Formulario de login</t>
        </is>
      </c>
      <c r="C26" s="47" t="inlineStr">
        <is>
          <t>python-multipart</t>
        </is>
      </c>
      <c r="D26" s="46" t="inlineStr">
        <is>
          <t>Paquete Python</t>
        </is>
      </c>
      <c r="E26" s="46" t="inlineStr">
        <is>
          <t>No</t>
        </is>
      </c>
      <c r="F26" s="46" t="inlineStr">
        <is>
          <t>Necesaria</t>
        </is>
      </c>
      <c r="G26" s="47" t="inlineStr">
        <is>
          <t>pip install python-multipart</t>
        </is>
      </c>
      <c r="H26" s="47" t="inlineStr">
        <is>
          <t>FastAPI lo exige para OAuth2PasswordRequestForm. Solo se omite si el login se hace con JSON puro.</t>
        </is>
      </c>
    </row>
    <row r="27" ht="45.75" customHeight="1" s="32">
      <c r="A27" s="46" t="inlineStr">
        <is>
          <t>HU-17</t>
        </is>
      </c>
      <c r="B27" s="47" t="inlineStr">
        <is>
          <t>Cola de tareas</t>
        </is>
      </c>
      <c r="C27" s="47" t="inlineStr">
        <is>
          <t>celery, redis, flower</t>
        </is>
      </c>
      <c r="D27" s="46" t="inlineStr">
        <is>
          <t>Paquete y contenedor</t>
        </is>
      </c>
      <c r="E27" s="46" t="inlineStr">
        <is>
          <t>Si</t>
        </is>
      </c>
      <c r="F27" s="46" t="inlineStr">
        <is>
          <t>Fuera de alcance</t>
        </is>
      </c>
      <c r="G27" s="47" t="inlineStr">
        <is>
          <t>Diferido: HU-17 esta en PENDING</t>
        </is>
      </c>
      <c r="H27" s="47" t="inlineStr">
        <is>
          <t>HU-17 depende de HU-03 (Sprint 2). Por la regla de dependencias sale del Sprint 1. Se recomienda dejar el contenedor redis:7-alpine en el compose para no rehacerlo despues.</t>
        </is>
      </c>
    </row>
    <row r="29" ht="15" customHeight="1" s="32">
      <c r="A29" s="42" t="inlineStr">
        <is>
          <t>Conteo</t>
        </is>
      </c>
      <c r="E29" s="42">
        <f>COUNTIF(E5:E27,"No")&amp;" ausentes del documento"</f>
        <v/>
      </c>
      <c r="F29" s="42">
        <f>COUNTIF(F5:F27,"Bloqueante")&amp;" bloqueantes"</f>
        <v/>
      </c>
    </row>
  </sheetData>
  <conditionalFormatting sqref="F5:F27">
    <cfRule type="cellIs" rank="0" priority="2" equalAverage="0" operator="equal" aboveAverage="0" dxfId="4" text="" percent="0" bottom="0">
      <formula>"Bloqueante"</formula>
    </cfRule>
  </conditionalFormatting>
  <conditionalFormatting sqref="E5:E27">
    <cfRule type="cellIs" rank="0" priority="3" equalAverage="0" operator="equal" aboveAverage="0" dxfId="5" text="" percent="0" bottom="0">
      <formula>"No"</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1" min="1" max="1"/>
    <col width="22" customWidth="1" style="31" min="2" max="2"/>
    <col width="64" customWidth="1" style="31" min="3" max="4"/>
    <col width="14" customWidth="1" style="31" min="5" max="5"/>
  </cols>
  <sheetData>
    <row r="1" ht="17.25" customHeight="1" s="32">
      <c r="A1" s="33" t="inlineStr">
        <is>
          <t>Inconsistencias detectadas en el documento funcional</t>
        </is>
      </c>
    </row>
    <row r="2" ht="15" customHeight="1" s="32">
      <c r="A2" s="34" t="inlineStr">
        <is>
          <t>Los ocho hallazgos fueron aplicados en la version 1.1 del documento funcional.</t>
        </is>
      </c>
    </row>
    <row r="4" ht="15" customHeight="1" s="32">
      <c r="A4" s="44" t="inlineStr">
        <is>
          <t>#</t>
        </is>
      </c>
      <c r="B4" s="44" t="inlineStr">
        <is>
          <t>Ubicacion</t>
        </is>
      </c>
      <c r="C4" s="44" t="inlineStr">
        <is>
          <t>Hallazgo</t>
        </is>
      </c>
      <c r="D4" s="44" t="inlineStr">
        <is>
          <t>Resolucion acordada</t>
        </is>
      </c>
      <c r="E4" s="44" t="inlineStr">
        <is>
          <t>Estado</t>
        </is>
      </c>
    </row>
    <row r="5" ht="55.5" customHeight="1" s="32">
      <c r="A5" s="60" t="n">
        <v>1</v>
      </c>
      <c r="B5" s="47" t="inlineStr">
        <is>
          <t>HU-17 / Seccion 10</t>
        </is>
      </c>
      <c r="C5" s="47" t="inlineStr">
        <is>
          <t>HU-17 esta planificada en el Sprint 1 pero depende de HU-03, que pertenece al Sprint 2. En el Sprint 1 no existe ninguna tarea real que encolar.</t>
        </is>
      </c>
      <c r="D5" s="47" t="inlineStr">
        <is>
          <t>Se marca PENDING y sale del conteo del Sprint 1 (-3 pts). Se recomienda dejar el contenedor redis:7-alpine en el compose desde el inicio para no rehacer la infraestructura al llegar al Sprint 2.</t>
        </is>
      </c>
      <c r="E5" s="46" t="inlineStr">
        <is>
          <t>Aplicado v1.1</t>
        </is>
      </c>
    </row>
    <row r="6" ht="55.5" customHeight="1" s="32">
      <c r="A6" s="60" t="n">
        <v>2</v>
      </c>
      <c r="B6" s="47" t="inlineStr">
        <is>
          <t>HU-01, criterio 2</t>
        </is>
      </c>
      <c r="C6" s="47" t="inlineStr">
        <is>
          <t>Exige registrar el error de bascula en el panel de salud, que es HU-18 y se entrega en el Sprint 5. El criterio no es verificable en el Sprint 1.</t>
        </is>
      </c>
      <c r="D6" s="47" t="inlineStr">
        <is>
          <t>Reescrito: el error se registra en la tabla salud_componente y se expone por GET /salud. La visualizacion queda para HU-18.</t>
        </is>
      </c>
      <c r="E6" s="46" t="inlineStr">
        <is>
          <t>Aplicado v1.1</t>
        </is>
      </c>
    </row>
    <row r="7" ht="55.5" customHeight="1" s="32">
      <c r="A7" s="60" t="n">
        <v>3</v>
      </c>
      <c r="B7" s="47" t="inlineStr">
        <is>
          <t>Seccion 6.3</t>
        </is>
      </c>
      <c r="C7" s="47" t="inlineStr">
        <is>
          <t>La tabla de componentes y tecnologias no incluye servidor ASGI, libreria de autenticacion, gestion de configuracion, logging ni pandas.</t>
        </is>
      </c>
      <c r="D7" s="47" t="inlineStr">
        <is>
          <t>Agregar uvicorn[standard], passlib[bcrypt], pydantic-settings, python-dotenv, structlog y pandas a la tabla de la seccion 6.3.</t>
        </is>
      </c>
      <c r="E7" s="46" t="inlineStr">
        <is>
          <t>Aplicado v1.1</t>
        </is>
      </c>
    </row>
    <row r="8" ht="55.5" customHeight="1" s="32">
      <c r="A8" s="60" t="n">
        <v>4</v>
      </c>
      <c r="B8" s="47" t="inlineStr">
        <is>
          <t>Seccion 6.5</t>
        </is>
      </c>
      <c r="C8" s="47" t="inlineStr">
        <is>
          <t>El modelo de datos no contempla la tabla de tokens de acceso a la API, necesaria para HU-14 con autenticacion por token opaco revocable.</t>
        </is>
      </c>
      <c r="D8" s="47" t="inlineStr">
        <is>
          <t>Agregar la tabla api_token con id, usuario_id, token_hash, nombre, creado_en, expira_en, ultimo_uso_en, revocado_en y revocado_por.</t>
        </is>
      </c>
      <c r="E8" s="46" t="inlineStr">
        <is>
          <t>Aplicado v1.1</t>
        </is>
      </c>
    </row>
    <row r="9" ht="55.5" customHeight="1" s="32">
      <c r="A9" s="60" t="n">
        <v>5</v>
      </c>
      <c r="B9" s="47" t="inlineStr">
        <is>
          <t>Seccion 6.7</t>
        </is>
      </c>
      <c r="C9" s="47" t="inlineStr">
        <is>
          <t>La infraestructura no contempla los simuladores necesarios para desarrollar sin bascula ni ERP reales, ni el requisito de sincronizacion horaria.</t>
        </is>
      </c>
      <c r="D9" s="47" t="inlineStr">
        <is>
          <t>Agregar los contenedores scale-sim (pymodbus.server) y erp-mock (FastAPI), y el requisito de NTP en servidor, bascula y camaras.</t>
        </is>
      </c>
      <c r="E9" s="46" t="inlineStr">
        <is>
          <t>Aplicado v1.1</t>
        </is>
      </c>
    </row>
    <row r="10" ht="55.5" customHeight="1" s="32">
      <c r="A10" s="60" t="n">
        <v>6</v>
      </c>
      <c r="B10" s="47" t="inlineStr">
        <is>
          <t>Seccion 8</t>
        </is>
      </c>
      <c r="C10" s="47" t="inlineStr">
        <is>
          <t>Exige que las claves vivan en variables de entorno o secretos de Docker, pero no asigna ninguna tecnologia de gestion de configuracion.</t>
        </is>
      </c>
      <c r="D10" s="47" t="inlineStr">
        <is>
          <t>Nombrar pydantic-settings y python-dotenv como mecanismo de carga, y documentar que ningun secreto se versiona.</t>
        </is>
      </c>
      <c r="E10" s="46" t="inlineStr">
        <is>
          <t>Aplicado v1.1</t>
        </is>
      </c>
    </row>
    <row r="11" ht="55.5" customHeight="1" s="32">
      <c r="A11" s="60" t="n">
        <v>7</v>
      </c>
      <c r="B11" s="47" t="inlineStr">
        <is>
          <t>Seccion 5.3</t>
        </is>
      </c>
      <c r="C11" s="47" t="inlineStr">
        <is>
          <t>HU-06 marca el evento como 'Sin clip', pero ese estado no existe en la tabla de estados de un evento.</t>
        </is>
      </c>
      <c r="D11" s="47" t="inlineStr">
        <is>
          <t>Agregar el estado Sin clip a la tabla 5.3 o convertirlo en un campo booleano del evento. Se decide al llegar al Sprint 2.</t>
        </is>
      </c>
      <c r="E11" s="46" t="inlineStr">
        <is>
          <t>Aplicado v1.1</t>
        </is>
      </c>
    </row>
    <row r="12" ht="55.5" customHeight="1" s="32">
      <c r="A12" s="60" t="n">
        <v>8</v>
      </c>
      <c r="B12" s="47" t="inlineStr">
        <is>
          <t>HU-05, criterio 1</t>
        </is>
      </c>
      <c r="C12" s="47" t="inlineStr">
        <is>
          <t>Indica grabar segmentos de 1 min con OpenCV o ffmpeg. OpenCV reencodifica, consume CPU y pierde fotogramas en grabacion continua.</t>
        </is>
      </c>
      <c r="D12" s="47" t="inlineStr">
        <is>
          <t>Usar el muxer segment de ffmpeg con -c copy y -strftime 1 para nombrar cada segmento con su marca de tiempo. Aplica en el Sprint 2.</t>
        </is>
      </c>
      <c r="E12" s="46" t="inlineStr">
        <is>
          <t>Aplicado v1.1</t>
        </is>
      </c>
    </row>
  </sheetData>
  <conditionalFormatting sqref="E5:E12">
    <cfRule type="cellIs" rank="0" priority="2" equalAverage="0" operator="equal" aboveAverage="0" dxfId="5" text="" percent="0" bottom="0">
      <formula>"Pendiente"</formula>
    </cfRule>
    <cfRule type="cellIs" rank="0" priority="3" equalAverage="0" operator="equal" aboveAverage="0" dxfId="6" text="" percent="0" bottom="0">
      <formula>"Abierto"</formula>
    </cfRule>
    <cfRule type="cellIs" rank="0" priority="4" equalAverage="0" operator="equal" aboveAverage="0" dxfId="7" text="" percent="0" bottom="0">
      <formula>"Aplicado v1.1"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2026-09-13T23:30:04Z</dcterms:created>
  <dcterms:modified xmlns:dcterms="http://purl.org/dc/terms/" xmlns:xsi="http://www.w3.org/2001/XMLSchema-instance" xsi:type="dcterms:W3CDTF">2026-10-18T16:21:37Z</dcterms:modified>
  <cp:revision>0</cp:revision>
</cp:coreProperties>
</file>